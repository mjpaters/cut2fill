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Technical Services\Technical Documents Unit\1 Publishing Requests\P01484 - Quarry Database - APS\Formatted\"/>
    </mc:Choice>
  </mc:AlternateContent>
  <xr:revisionPtr revIDLastSave="0" documentId="13_ncr:1_{C1621B1C-D7D4-4BB1-A0B1-3B6AF701A987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Master Spreadsheet" sheetId="17" r:id="rId1"/>
  </sheets>
  <definedNames>
    <definedName name="_xlnm._FilterDatabase" localSheetId="0" hidden="1">'Master Spreadsheet'!$A$3:$AE$300</definedName>
    <definedName name="CertStatus">#REF!</definedName>
    <definedName name="Council">#REF!</definedName>
    <definedName name="jhg">#REF!</definedName>
    <definedName name="Localgovt">#REF!</definedName>
    <definedName name="MatGroup">#REF!</definedName>
    <definedName name="MRTS">#REF!</definedName>
    <definedName name="Region">#REF!</definedName>
    <definedName name="RockMatType">#REF!</definedName>
    <definedName name="SandRockGroup">#REF!</definedName>
    <definedName name="Very_fine_to_fine_Quartzose_Sand">#REF!</definedName>
    <definedName name="Who">#REF!</definedName>
  </definedNames>
  <calcPr calcId="191029"/>
  <customWorkbookViews>
    <customWorkbookView name="dascrem - Personal View" guid="{9B84614A-4A54-46F6-8F65-1BADB3CA053C}" mergeInterval="0" personalView="1" maximized="1" windowWidth="1276" windowHeight="852" tabRatio="863" activeSheetId="2"/>
    <customWorkbookView name="bafield - Personal View" guid="{356A6DD3-3A2E-4252-B142-782F2CF72BE1}" mergeInterval="0" personalView="1" maximized="1" windowWidth="1276" windowHeight="654" tabRatio="863" activeSheetId="8"/>
    <customWorkbookView name="azdissa - Personal View" guid="{16437211-BED9-44B4-9E90-2EF9C936D939}" mergeInterval="0" personalView="1" maximized="1" windowWidth="1020" windowHeight="622" tabRatio="863" activeSheetId="3"/>
    <customWorkbookView name="jrarmst - Personal View" guid="{9C0B674F-D73D-458D-BAC1-BA4FC05FDE06}" mergeInterval="0" personalView="1" maximized="1" windowWidth="1276" windowHeight="602" activeSheetId="2"/>
    <customWorkbookView name="usali - Personal View" guid="{70265ED1-C428-465A-8FD8-2CCBAB8D9224}" mergeInterval="0" personalView="1" maximized="1" windowWidth="1916" windowHeight="877" tabRatio="863" activeSheetId="2"/>
    <customWorkbookView name="Umar S Ali - Personal View" guid="{6B3458BA-E516-4C11-82CE-467EA668C364}" mergeInterval="0" personalView="1" maximized="1" xWindow="-9" yWindow="-9" windowWidth="1938" windowHeight="1050" tabRatio="863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99" i="17" l="1"/>
  <c r="AE298" i="17"/>
  <c r="AE297" i="17"/>
  <c r="AE296" i="17"/>
  <c r="AE295" i="17"/>
  <c r="AE294" i="17"/>
  <c r="AE293" i="17"/>
  <c r="AE292" i="17"/>
  <c r="AE291" i="17"/>
  <c r="AE290" i="17"/>
  <c r="AE289" i="17"/>
  <c r="AE288" i="17"/>
  <c r="AE287" i="17"/>
  <c r="AE286" i="17"/>
  <c r="AE285" i="17"/>
  <c r="AE284" i="17"/>
  <c r="AE283" i="17"/>
  <c r="AE282" i="17"/>
  <c r="AE281" i="17"/>
  <c r="AE280" i="17"/>
  <c r="AE279" i="17"/>
  <c r="AE278" i="17"/>
  <c r="AE277" i="17"/>
  <c r="AE276" i="17"/>
  <c r="AE275" i="17"/>
  <c r="AE274" i="17"/>
  <c r="AE273" i="17"/>
  <c r="AE272" i="17"/>
  <c r="AE271" i="17"/>
  <c r="AE270" i="17"/>
  <c r="AE269" i="17"/>
  <c r="AE268" i="17"/>
  <c r="AE267" i="17"/>
  <c r="AE266" i="17"/>
  <c r="AE265" i="17"/>
  <c r="AE264" i="17"/>
  <c r="AE263" i="17"/>
  <c r="AE262" i="17"/>
  <c r="AE261" i="17"/>
  <c r="AE260" i="17"/>
  <c r="AE259" i="17"/>
  <c r="AE258" i="17"/>
  <c r="AE257" i="17"/>
  <c r="AE256" i="17"/>
  <c r="AE255" i="17"/>
  <c r="AE254" i="17"/>
  <c r="AE253" i="17"/>
  <c r="AE252" i="17"/>
  <c r="AE251" i="17"/>
  <c r="AE250" i="17"/>
  <c r="AE249" i="17"/>
  <c r="AE248" i="17"/>
  <c r="AE247" i="17"/>
  <c r="AE246" i="17"/>
  <c r="AE245" i="17"/>
  <c r="AE244" i="17"/>
  <c r="AE243" i="17"/>
  <c r="AE242" i="17"/>
  <c r="AE241" i="17"/>
  <c r="AE240" i="17"/>
  <c r="AE239" i="17"/>
  <c r="AE238" i="17"/>
  <c r="AE237" i="17"/>
  <c r="AE236" i="17"/>
  <c r="AE235" i="17"/>
  <c r="AE234" i="17"/>
  <c r="AE233" i="17"/>
  <c r="AE232" i="17"/>
  <c r="AE231" i="17"/>
  <c r="AE230" i="17"/>
  <c r="AE229" i="17"/>
  <c r="AE228" i="17"/>
  <c r="AE227" i="17"/>
  <c r="AE226" i="17"/>
  <c r="AE225" i="17"/>
  <c r="AE224" i="17"/>
  <c r="AE223" i="17"/>
  <c r="AE222" i="17"/>
  <c r="AE221" i="17"/>
  <c r="AE220" i="17"/>
  <c r="AE219" i="17"/>
  <c r="AE218" i="17"/>
  <c r="AE217" i="17"/>
  <c r="AE216" i="17"/>
  <c r="AE215" i="17"/>
  <c r="AE214" i="17"/>
  <c r="AE213" i="17"/>
  <c r="AE212" i="17"/>
  <c r="AE211" i="17"/>
  <c r="AE210" i="17"/>
  <c r="AE209" i="17"/>
  <c r="AE208" i="17"/>
  <c r="AE207" i="17"/>
  <c r="AE206" i="17"/>
  <c r="AE205" i="17"/>
  <c r="AE204" i="17"/>
  <c r="AE203" i="17"/>
  <c r="AE202" i="17"/>
  <c r="AE201" i="17"/>
  <c r="AE200" i="17"/>
  <c r="AE199" i="17"/>
  <c r="AE198" i="17"/>
  <c r="AE197" i="17"/>
  <c r="AE196" i="17"/>
  <c r="AE195" i="17"/>
  <c r="AE194" i="17"/>
  <c r="AE193" i="17"/>
  <c r="AE192" i="17"/>
  <c r="AE191" i="17"/>
  <c r="AE190" i="17"/>
  <c r="AE189" i="17"/>
  <c r="AE188" i="17"/>
  <c r="AE187" i="17"/>
  <c r="AE186" i="17"/>
  <c r="AE185" i="17"/>
  <c r="AE184" i="17"/>
  <c r="AE183" i="17"/>
  <c r="AE182" i="17"/>
  <c r="AE181" i="17"/>
  <c r="AE180" i="17"/>
  <c r="AE179" i="17"/>
  <c r="AE178" i="17"/>
  <c r="AE177" i="17"/>
  <c r="AE176" i="17"/>
  <c r="AE175" i="17"/>
  <c r="AE174" i="17"/>
  <c r="AE173" i="17"/>
  <c r="AE172" i="17"/>
  <c r="AE171" i="17"/>
  <c r="AE170" i="17"/>
  <c r="AE169" i="17"/>
  <c r="AE168" i="17"/>
  <c r="AE167" i="17"/>
  <c r="AE166" i="17"/>
  <c r="AE165" i="17"/>
  <c r="AE164" i="17"/>
  <c r="AE163" i="17"/>
  <c r="AE162" i="17"/>
  <c r="AE161" i="17"/>
  <c r="AE160" i="17"/>
  <c r="AE159" i="17"/>
  <c r="AE158" i="17"/>
  <c r="AE157" i="17"/>
  <c r="AE156" i="17"/>
  <c r="AE155" i="17"/>
  <c r="AE154" i="17"/>
  <c r="AE153" i="17"/>
  <c r="AE152" i="17"/>
  <c r="AE151" i="17"/>
  <c r="AE150" i="17"/>
  <c r="AE149" i="17"/>
  <c r="AE148" i="17"/>
  <c r="AE147" i="17"/>
  <c r="AE146" i="17"/>
  <c r="AE145" i="17"/>
  <c r="AE144" i="17"/>
  <c r="AE143" i="17"/>
  <c r="AE142" i="17"/>
  <c r="AE141" i="17"/>
  <c r="AE140" i="17"/>
  <c r="AE139" i="17"/>
  <c r="AE138" i="17"/>
  <c r="AE137" i="17"/>
  <c r="AE136" i="17"/>
  <c r="AE135" i="17"/>
  <c r="AE134" i="17"/>
  <c r="AE133" i="17"/>
  <c r="AE132" i="17"/>
  <c r="AE131" i="17"/>
  <c r="AE130" i="17"/>
  <c r="AE129" i="17"/>
  <c r="AE128" i="17"/>
  <c r="AE127" i="17"/>
  <c r="AE126" i="17"/>
  <c r="AE125" i="17"/>
  <c r="AE124" i="17"/>
  <c r="AE123" i="17"/>
  <c r="AE122" i="17"/>
  <c r="AE121" i="17"/>
  <c r="AE120" i="17"/>
  <c r="AE119" i="17"/>
  <c r="AE118" i="17"/>
  <c r="AE117" i="17"/>
  <c r="AE116" i="17"/>
  <c r="AE115" i="17"/>
  <c r="AE114" i="17"/>
  <c r="AE113" i="17"/>
  <c r="AE112" i="17"/>
  <c r="AE111" i="17"/>
  <c r="AE110" i="17"/>
  <c r="AE109" i="17"/>
  <c r="AE108" i="17"/>
  <c r="AE107" i="17"/>
  <c r="AE106" i="17"/>
  <c r="AE105" i="17"/>
  <c r="AE104" i="17"/>
  <c r="AE103" i="17"/>
  <c r="AE102" i="17"/>
  <c r="AE101" i="17"/>
  <c r="AE100" i="17"/>
  <c r="AE99" i="17"/>
  <c r="AE98" i="17"/>
  <c r="AE97" i="17"/>
  <c r="AE96" i="17"/>
  <c r="AE95" i="17"/>
  <c r="AE94" i="17"/>
  <c r="AE93" i="17"/>
  <c r="AE92" i="17"/>
  <c r="AE91" i="17"/>
  <c r="AE90" i="17"/>
  <c r="AE89" i="17"/>
  <c r="AE88" i="17"/>
  <c r="AE87" i="17"/>
  <c r="AE86" i="17"/>
  <c r="AE85" i="17"/>
  <c r="AE84" i="17"/>
  <c r="AE83" i="17"/>
  <c r="AE82" i="17"/>
  <c r="AE81" i="17"/>
  <c r="AE80" i="17"/>
  <c r="AE79" i="17"/>
  <c r="AE78" i="17"/>
  <c r="AE77" i="17"/>
  <c r="AE76" i="17"/>
  <c r="AE75" i="17"/>
  <c r="AE74" i="17"/>
  <c r="AE73" i="17"/>
  <c r="AE72" i="17"/>
  <c r="AE71" i="17"/>
  <c r="AE70" i="17"/>
  <c r="AE69" i="17"/>
  <c r="AE68" i="17"/>
  <c r="AE67" i="17"/>
  <c r="AE66" i="17"/>
  <c r="AE65" i="17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49" i="17"/>
  <c r="AE48" i="17"/>
  <c r="AE47" i="17"/>
  <c r="AE46" i="17"/>
  <c r="AE45" i="17"/>
  <c r="AE44" i="17"/>
  <c r="AE43" i="17"/>
  <c r="AE42" i="17"/>
  <c r="AE41" i="17"/>
  <c r="AE40" i="17"/>
  <c r="AE39" i="17"/>
  <c r="AE38" i="17"/>
  <c r="AE37" i="17"/>
  <c r="AE36" i="17"/>
  <c r="AE35" i="17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10" i="17"/>
  <c r="AE9" i="17"/>
  <c r="AE8" i="17"/>
  <c r="AE7" i="17"/>
  <c r="AE6" i="17"/>
  <c r="A6" i="17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E5" i="17"/>
  <c r="AE4" i="17"/>
  <c r="A17" i="17" l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</calcChain>
</file>

<file path=xl/sharedStrings.xml><?xml version="1.0" encoding="utf-8"?>
<sst xmlns="http://schemas.openxmlformats.org/spreadsheetml/2006/main" count="4875" uniqueCount="1920">
  <si>
    <t>Certificate Status</t>
  </si>
  <si>
    <t>Expiry Date</t>
  </si>
  <si>
    <t>Local Government / Shire Council</t>
  </si>
  <si>
    <t>Quarry Address (Location)</t>
  </si>
  <si>
    <t>Operators Address</t>
  </si>
  <si>
    <t>Latitude</t>
  </si>
  <si>
    <t>Longitude</t>
  </si>
  <si>
    <t>Cover Aggregate</t>
  </si>
  <si>
    <t>Unbound Paving Material</t>
  </si>
  <si>
    <t>Rock/Material Type</t>
  </si>
  <si>
    <t>Rock Material Group</t>
  </si>
  <si>
    <t>Quarry Name</t>
  </si>
  <si>
    <t>Registered Overall Testing Frequency Level</t>
  </si>
  <si>
    <t>Reference Number</t>
  </si>
  <si>
    <t>TMR Quarry Reference Number
(RQ No.)</t>
  </si>
  <si>
    <t>Reg Certificate Number</t>
  </si>
  <si>
    <t>Nominated Quarry Operator
(Legal Entity of the Operation)</t>
  </si>
  <si>
    <t>Recycled Material Site</t>
  </si>
  <si>
    <t>Asphalt Aggregate - Coarse</t>
  </si>
  <si>
    <t>Concrete Aggregate-Coarse</t>
  </si>
  <si>
    <t>Concrete Aggregate- Fine</t>
  </si>
  <si>
    <t>Asphalt Aggregate - Fine</t>
  </si>
  <si>
    <t>Rock Fill Material</t>
  </si>
  <si>
    <t>High Permeability Drainage Material</t>
  </si>
  <si>
    <t>Reinforced Fill Materials</t>
  </si>
  <si>
    <t>Supplementary Materials for
Unbound Paving Material</t>
  </si>
  <si>
    <t>Aggregate for Lean Mix Concrete Subbase &amp; Concrete Pavement Base (Coarse)</t>
  </si>
  <si>
    <t>Aggregate for Lean Mix Concrete Subbase &amp; Concrete Pavement Base (Fine)</t>
  </si>
  <si>
    <t>Link to open in Google Maps</t>
  </si>
  <si>
    <t>Armourstones</t>
  </si>
  <si>
    <t>Bituminous Slurry Surfacing/ Microsurfacing Aggregate</t>
  </si>
  <si>
    <r>
      <t xml:space="preserve">Approved Nominated Products
</t>
    </r>
    <r>
      <rPr>
        <b/>
        <sz val="14"/>
        <color rgb="FF0070C0"/>
        <rFont val="Noto Sans"/>
        <family val="2"/>
      </rPr>
      <t>For detailed information about product type - see Legend</t>
    </r>
  </si>
  <si>
    <t>Abbot Point Quarry</t>
  </si>
  <si>
    <t>RQ163</t>
  </si>
  <si>
    <t>2024-048</t>
  </si>
  <si>
    <t>CURRENT</t>
  </si>
  <si>
    <t>Default</t>
  </si>
  <si>
    <t>Whitsunday Regional Council</t>
  </si>
  <si>
    <t>Abbot Point Road, Abbot Point QLD 4805</t>
  </si>
  <si>
    <t>L D &amp; L J Hillery Pty Ltd T/A Hillery Group</t>
  </si>
  <si>
    <t>167 Richmond Road Bowen Qld 4805</t>
  </si>
  <si>
    <t/>
  </si>
  <si>
    <t>A
B
C
D</t>
  </si>
  <si>
    <t>1
2
3</t>
  </si>
  <si>
    <t>X</t>
  </si>
  <si>
    <t>Microgabbro/Dolerite with minor Micro-Monzodiorite/Dacite/Basalt Intrusions</t>
  </si>
  <si>
    <t>Basic igneous</t>
  </si>
  <si>
    <t>Adbri Cape Cleveland Sand Pit</t>
  </si>
  <si>
    <t>RQ352</t>
  </si>
  <si>
    <t>2025-115</t>
  </si>
  <si>
    <t>Townsville City Council</t>
  </si>
  <si>
    <t>159 Meehan Road, Cape Cleveland QLD 4816</t>
  </si>
  <si>
    <t>Hy-Tec Industries (Queensland) Pty Ltd</t>
  </si>
  <si>
    <t>664 Old Gympie Road Narangba QLD 4504</t>
  </si>
  <si>
    <t>Quartzofeldspathic &amp; Lithic Fine to Medium Aeolian Sand</t>
  </si>
  <si>
    <t>Sand</t>
  </si>
  <si>
    <t>Adbri Fernvale Sand Plant</t>
  </si>
  <si>
    <t>RQ078</t>
  </si>
  <si>
    <t>2025-130</t>
  </si>
  <si>
    <t>Somerset Regional Council</t>
  </si>
  <si>
    <t>Powell's Road (Off Brisbane Valley Highway), Fernvale QLD 4306</t>
  </si>
  <si>
    <t>664 Old Gympie Road, Narangba QLD 4504</t>
  </si>
  <si>
    <t>Sand and Gravel</t>
  </si>
  <si>
    <t>Intermediate Igneous</t>
  </si>
  <si>
    <t>Adbri Goomeri Quarry</t>
  </si>
  <si>
    <t>RQ171</t>
  </si>
  <si>
    <t>2024-157</t>
  </si>
  <si>
    <t>Gympie Regional Council</t>
  </si>
  <si>
    <t>Adjacent to the Burnett Highway at CH51.86Km, Goomeri QLD 4601
(8Kms south of Goomeri Township)</t>
  </si>
  <si>
    <t>HY-Tec Industries (Queensland) Pty Ltd</t>
  </si>
  <si>
    <t>2
3</t>
  </si>
  <si>
    <t>Silica Undersaturated Glassy Andesitic lapilli Tuff (See comments below)</t>
  </si>
  <si>
    <t>Adbri Kalbar Quarry</t>
  </si>
  <si>
    <t>RQ364</t>
  </si>
  <si>
    <t>2024-153</t>
  </si>
  <si>
    <t>Scenic Rim Regional Council</t>
  </si>
  <si>
    <t>637 Frazerview Road, Frazerview QLD 4309</t>
  </si>
  <si>
    <t>Hy-Tec Industries (Queensland) Pty Ltd trading as Zanow Concrete and Quarries Pty Ltd</t>
  </si>
  <si>
    <t>Silica Undersaturated Glassy Trachyandesite /Trachyte/Latite</t>
  </si>
  <si>
    <t>Adbri Quarries Bay Sand</t>
  </si>
  <si>
    <t>RQ522</t>
  </si>
  <si>
    <t>2025-137</t>
  </si>
  <si>
    <t>Brisbane City Council</t>
  </si>
  <si>
    <t>50 Farrer Road, Pinkenba QLD 4008</t>
  </si>
  <si>
    <t>Mainly Fine to Medium Grained Quartzose &amp; Lithic Marine Sand</t>
  </si>
  <si>
    <t>Adbri Scotchy Pocket Quarry</t>
  </si>
  <si>
    <t>RQ365</t>
  </si>
  <si>
    <t>2025-111</t>
  </si>
  <si>
    <t>Low</t>
  </si>
  <si>
    <t>Lindley's Lane, Off Bruce Highway, Curra QLD 4570</t>
  </si>
  <si>
    <t>Andesite Porphyry</t>
  </si>
  <si>
    <t>Alex Fraser Archerfield Recycle Site</t>
  </si>
  <si>
    <t>RQ527</t>
  </si>
  <si>
    <t>2024-116</t>
  </si>
  <si>
    <t>40-50 Beaufighter Avenue, Archerfield QLD 4108</t>
  </si>
  <si>
    <t>Queensland Recycling Pty Ltd T/A Alex Fraser Queensland</t>
  </si>
  <si>
    <t>50 Parkwest Drive, Derrimut VIC 3026</t>
  </si>
  <si>
    <t>2.1
2.3</t>
  </si>
  <si>
    <t xml:space="preserve">Recycled Material </t>
  </si>
  <si>
    <t>Recycled Material Blend</t>
  </si>
  <si>
    <t>Alex Fraser Nudgee Recycle Site</t>
  </si>
  <si>
    <t>RQ526</t>
  </si>
  <si>
    <t>2024-117</t>
  </si>
  <si>
    <t>1512 Nudgee Road, Nudgee Beach QLD 4014</t>
  </si>
  <si>
    <t>Queensland Recycling T/A Alex Fraser Queensland</t>
  </si>
  <si>
    <t>Amby Compagnoni Quarry</t>
  </si>
  <si>
    <t>RQ017</t>
  </si>
  <si>
    <t>2025-145</t>
  </si>
  <si>
    <t>Maranoa Regional Council</t>
  </si>
  <si>
    <t>Lot 62 Warrego Hwy, Wallhallow QLD 4465</t>
  </si>
  <si>
    <t>Corbet Quarries and Concrete Pty Ltd</t>
  </si>
  <si>
    <t>3 Corbet Road, Gympie QLD 4570</t>
  </si>
  <si>
    <t>Silica Oversaturated Glassy Olivine Basalt</t>
  </si>
  <si>
    <t>Basic Igneous</t>
  </si>
  <si>
    <t>Andrews M &amp; K Quarry</t>
  </si>
  <si>
    <t>RQ573</t>
  </si>
  <si>
    <t>2024-034</t>
  </si>
  <si>
    <t>Not Applicable</t>
  </si>
  <si>
    <t>Goondiwindi Regional Council</t>
  </si>
  <si>
    <t>Avenel Merton Road Yelarbon QLD 4388</t>
  </si>
  <si>
    <t>M &amp; K Andrews Transport (QLD) Pty Ltd</t>
  </si>
  <si>
    <t>66 Glasser Street, Goondiwindi QLD 4390</t>
  </si>
  <si>
    <t>2.5
3.5
4
WQ35</t>
  </si>
  <si>
    <t>Sandstone, Siltstone, Mudstone &amp; Claystone</t>
  </si>
  <si>
    <t>Sedimentary</t>
  </si>
  <si>
    <t>Australian Sandstone Quarry</t>
  </si>
  <si>
    <t>RQ590</t>
  </si>
  <si>
    <t>2025-054</t>
  </si>
  <si>
    <t>Lockyer Valley Regional Council</t>
  </si>
  <si>
    <t>215 Seventeen Mile Road Helidon QLD 4344</t>
  </si>
  <si>
    <t>Batana Pty Ltd</t>
  </si>
  <si>
    <t>Medium to Coarse Grained Residual Quartzo and Lithic Sand Derived from Weathered Quartzose Sandstone</t>
  </si>
  <si>
    <t>Ayrshire Hills Quarry</t>
  </si>
  <si>
    <t>RQ470</t>
  </si>
  <si>
    <t>2024-051</t>
  </si>
  <si>
    <t>Winton Shire Council</t>
  </si>
  <si>
    <t>Ayrshire Downs, Landsborough Highway Winton QLD 4735</t>
  </si>
  <si>
    <t>Qcrush Pty Ltd</t>
  </si>
  <si>
    <t>Moondarra Road, Mt. Isa 4825</t>
  </si>
  <si>
    <t>Siltstone &amp; Mudstone / Ferricrete &amp; Silcrete</t>
  </si>
  <si>
    <t>Sedimentary and Duricrust</t>
  </si>
  <si>
    <t>Bakers Creek Fine Sand</t>
  </si>
  <si>
    <t>RQ185</t>
  </si>
  <si>
    <t>2024-032</t>
  </si>
  <si>
    <t xml:space="preserve">Default </t>
  </si>
  <si>
    <t>Mackay Regional Council</t>
  </si>
  <si>
    <t>Off Connors Rd, Bakers Creek, QLD 4740</t>
  </si>
  <si>
    <t>Johnny Farming Company</t>
  </si>
  <si>
    <t>133 Schmidtkes Road, Mackay QLD 4740</t>
  </si>
  <si>
    <t xml:space="preserve"> </t>
  </si>
  <si>
    <t>Fine Grained Quartzofeldspathic &amp; Lithic Tidal Sand</t>
  </si>
  <si>
    <t>Baldwin's Cattle Creek Coarse Sand</t>
  </si>
  <si>
    <t>RQ361</t>
  </si>
  <si>
    <t>2024-087</t>
  </si>
  <si>
    <t>North Burnett Regional Council</t>
  </si>
  <si>
    <t xml:space="preserve">Old Rawbelle Road, Rawbelle QLD 4630 </t>
  </si>
  <si>
    <t>Baldwins and Sons Pty Ltd</t>
  </si>
  <si>
    <t>30 Luthje Road, Monto QLD 4630</t>
  </si>
  <si>
    <t>Quartzofeldspathic and Lithic Mainly Medium to Coarse Alluvial Sand</t>
  </si>
  <si>
    <t>Barabon Quarry</t>
  </si>
  <si>
    <t>RQ241</t>
  </si>
  <si>
    <t>2025-006</t>
  </si>
  <si>
    <t>Flinders Shire Council</t>
  </si>
  <si>
    <t>Barabon Road, Richmond QLD 4821</t>
  </si>
  <si>
    <t>Gromac Quarries (NQ) Pty Ltd</t>
  </si>
  <si>
    <t>Olivine Basalt</t>
  </si>
  <si>
    <t>Bassridge Quarry</t>
  </si>
  <si>
    <t>RQ442</t>
  </si>
  <si>
    <t>2025-052</t>
  </si>
  <si>
    <t>Richmond Shire Council</t>
  </si>
  <si>
    <t>Stewart Park, Villadale Road, Off Flinders Highway QLD 4822</t>
  </si>
  <si>
    <t>Bassridge Pty Ltd trading as Lillyman Earthmoving</t>
  </si>
  <si>
    <t>2354 Villadale Road, Richmond QLD 4822</t>
  </si>
  <si>
    <t>Bassridge Quarry Supplementary Material Pit</t>
  </si>
  <si>
    <t>RQ555</t>
  </si>
  <si>
    <t>2025-002</t>
  </si>
  <si>
    <t>Fine to Medium Silty Sand</t>
  </si>
  <si>
    <t>Supplementary Materials</t>
  </si>
  <si>
    <t>Bauhinia Quarry</t>
  </si>
  <si>
    <t>RQ362</t>
  </si>
  <si>
    <t>2024-080</t>
  </si>
  <si>
    <t>Central Highlands Regional Council</t>
  </si>
  <si>
    <t xml:space="preserve"> Lot 1 Dawson Highway, Bauhinia QLD 4718</t>
  </si>
  <si>
    <t>Thomas Plant Hire</t>
  </si>
  <si>
    <t>77 Annie Drive Cawrral QLD 4702</t>
  </si>
  <si>
    <t>Bay City Sand and Stone Pty Ltd</t>
  </si>
  <si>
    <t>RQ088</t>
  </si>
  <si>
    <t>2024-137</t>
  </si>
  <si>
    <t>Fraser Coast Regional Council</t>
  </si>
  <si>
    <t>23 Janet Road, Maryborough QLD 4650</t>
  </si>
  <si>
    <t>128 Scrub Hill Road Dundowran QLD 4655</t>
  </si>
  <si>
    <t>Mainly Medium to Coarse Quartzofeldspathic and Lithic  Alluvial Sand</t>
  </si>
  <si>
    <t>Bell Quarry</t>
  </si>
  <si>
    <t>RQ578</t>
  </si>
  <si>
    <t>2025-131</t>
  </si>
  <si>
    <t>Western Downs Regional Council</t>
  </si>
  <si>
    <t>5750 Bunya Highway Cooranga QLD 4408</t>
  </si>
  <si>
    <t>Kingaroy Quarry Supplies Pty Ltd</t>
  </si>
  <si>
    <t>1304 Wattlegrove Road Wattlegrove Qld</t>
  </si>
  <si>
    <t>Belmore Creek Gravel Pit</t>
  </si>
  <si>
    <t>RQ303</t>
  </si>
  <si>
    <t>2024-009</t>
  </si>
  <si>
    <t>Temporary Extension</t>
  </si>
  <si>
    <t>Croydon Shire Council</t>
  </si>
  <si>
    <t>Access via Belmore Road, adjacent to Gulf Developmental Road, Croydon QLD 4871</t>
  </si>
  <si>
    <t>Wells Plant Hire Pty Ltd</t>
  </si>
  <si>
    <t>125 Yappar Street, Karumba, QLD 4891</t>
  </si>
  <si>
    <t>B
C
D</t>
  </si>
  <si>
    <t>Alluvial Gravel and Cobbles Derived Predominantly from Porphyritic Rhyodacite</t>
  </si>
  <si>
    <t>Acid Igneous</t>
  </si>
  <si>
    <t>Belmore Quarry (Basalt Source Pit)</t>
  </si>
  <si>
    <t>RQ132</t>
  </si>
  <si>
    <t>2025-023</t>
  </si>
  <si>
    <t>Weir Road, Adjacent to Collinsville Road, Collinsville QLD 4804</t>
  </si>
  <si>
    <t>167 Richmond Road Bowen QLD 4805</t>
  </si>
  <si>
    <t>Hydrothermally Altered Basalt with infilled vein materials</t>
  </si>
  <si>
    <t>Bengalla Sand Quarry</t>
  </si>
  <si>
    <t>RQ584</t>
  </si>
  <si>
    <t>2024-130</t>
  </si>
  <si>
    <t xml:space="preserve">"Bengalla", Kildonan Yelarbon Road, Yelarbon QLD 4388 </t>
  </si>
  <si>
    <t>Johnstone Concrete and Quarries Pty Ltd</t>
  </si>
  <si>
    <t>35 Drive In Road Moree NSW 2400</t>
  </si>
  <si>
    <t>Quartzofeldspathic and Lithic Medium to Coarse Alluvial Sand</t>
  </si>
  <si>
    <t>Biboohra Sands</t>
  </si>
  <si>
    <t>RQ468</t>
  </si>
  <si>
    <t>2025-056</t>
  </si>
  <si>
    <t xml:space="preserve">Default  </t>
  </si>
  <si>
    <t>Mareeba Shire Council</t>
  </si>
  <si>
    <t>225 Pickford Road, Biboohra QLD 4738</t>
  </si>
  <si>
    <t>CQB Services Pty Ltd</t>
  </si>
  <si>
    <t>4 Bowers Street Mareeba QLD 4880</t>
  </si>
  <si>
    <t>Medium to Mainly Coarse Grained Quartzofeldspathic and Lithic Alluvial Sand</t>
  </si>
  <si>
    <t>Big One Mine (Thorntonia Quarry)</t>
  </si>
  <si>
    <t>RQ079</t>
  </si>
  <si>
    <t>2024-128</t>
  </si>
  <si>
    <t>Mount Isa City Council</t>
  </si>
  <si>
    <t>Yelvertoft Road, Thorntonia Station via Camooweal QLD 4828</t>
  </si>
  <si>
    <t>Myuma Pty Ltd</t>
  </si>
  <si>
    <t>2/52 Miles Street Mount Isa QLD 4825</t>
  </si>
  <si>
    <t>Crystalline and Micritic Limestone</t>
  </si>
  <si>
    <t>Biggenden Quarry</t>
  </si>
  <si>
    <t>RQ021</t>
  </si>
  <si>
    <t>(INTERIM ONLY)</t>
  </si>
  <si>
    <t>446 Biggenden Mines Road, Biggenden QLD 4621</t>
  </si>
  <si>
    <t>Gregory (Tom) McIntyre</t>
  </si>
  <si>
    <t>446 Biggenden Mines Rd, Biggenden QLD 4621</t>
  </si>
  <si>
    <t>Hornfelsed Calcsilicate Skarn (Refer Comments for details of source rock assemblage)</t>
  </si>
  <si>
    <t>Metamorphic</t>
  </si>
  <si>
    <t>Black Hill Quarry</t>
  </si>
  <si>
    <t>RQ334</t>
  </si>
  <si>
    <t>2025-022</t>
  </si>
  <si>
    <t>Walton Road, Bluff QLD 4702</t>
  </si>
  <si>
    <t>Blackwater Quarries Pty Ltd</t>
  </si>
  <si>
    <t>2403, Blackwater-Cooroorah Road, Blackwater QLD 4717</t>
  </si>
  <si>
    <t>A
B
C
B</t>
  </si>
  <si>
    <t>Silica Undersaturated Glassy Olivine Basalt</t>
  </si>
  <si>
    <t>Black River Quarry (Barro Group Pty Ltd)</t>
  </si>
  <si>
    <t>RQ022</t>
  </si>
  <si>
    <t>2023-172</t>
  </si>
  <si>
    <t>Gieseman Road, off Black River Road, Black River QLD 4818</t>
  </si>
  <si>
    <t>Barro Group Pty Ltd</t>
  </si>
  <si>
    <t>191 Drummond Street Carlton Victoria 3053</t>
  </si>
  <si>
    <t>Rhyolite &amp; Microgranite (See Comment 1 below)</t>
  </si>
  <si>
    <t>Blackwater (Bedford Weir) Quarry</t>
  </si>
  <si>
    <t>RQ188</t>
  </si>
  <si>
    <t>2024-099</t>
  </si>
  <si>
    <t>2403 Blackwater-Cooroorah Road, Blackwater QLD 4717</t>
  </si>
  <si>
    <t>2403 Blackwater Cooroorah Road, Blackwater QLD 4717.</t>
  </si>
  <si>
    <t>Olivine Basalt and Gabbro</t>
  </si>
  <si>
    <t>Bland Residual Sand (Millmerran)</t>
  </si>
  <si>
    <t>RQ095</t>
  </si>
  <si>
    <t>2024-085</t>
  </si>
  <si>
    <t>Toowoomba Regional Council</t>
  </si>
  <si>
    <t>8884 Gore Highway, Millmerran QLD 4357</t>
  </si>
  <si>
    <t>PearlJaney Pty Ltd</t>
  </si>
  <si>
    <t>Lot 5 Bligh Street, Millmerran QLD 4357</t>
  </si>
  <si>
    <t>Fine to Mainly Medium Grained Residual Quartz Sand</t>
  </si>
  <si>
    <t>Blue Rock Quarry</t>
  </si>
  <si>
    <t>RQ001</t>
  </si>
  <si>
    <t>2024-150</t>
  </si>
  <si>
    <t>Gold Coast City Council</t>
  </si>
  <si>
    <t>Tamaree Road, Cedar Creek QLD 4207</t>
  </si>
  <si>
    <t>Fulton Hogan Quarries Pty Ltd</t>
  </si>
  <si>
    <t>Building 8, 2404 Logan Road, Eight Mile Plains QLD 4113</t>
  </si>
  <si>
    <t>Greenstone and Subordinate Metagreywacke</t>
  </si>
  <si>
    <t>Bluff Quarry</t>
  </si>
  <si>
    <t>RQ472</t>
  </si>
  <si>
    <t>2024-020</t>
  </si>
  <si>
    <t>Adjacent to Leichhardt River Road/ Lake Moondarra Drive, Mount Isa QLD 4825</t>
  </si>
  <si>
    <t xml:space="preserve"> Bluff Quarry, Moondarra Drive, Mount Isa QLD 4825</t>
  </si>
  <si>
    <t>Metasandstone/Quartzite with minor metasiltstone &amp; phyllite interbeds</t>
  </si>
  <si>
    <t>Blyth Creek Sand (The Bend)</t>
  </si>
  <si>
    <t>RQ404</t>
  </si>
  <si>
    <t>2024-105</t>
  </si>
  <si>
    <t>The Bend Road, off Blythdale Road, Roma QLD 4455</t>
  </si>
  <si>
    <t>Roma Sands Pty Ltd</t>
  </si>
  <si>
    <t>174 Woodside Road Roma QLD 4455</t>
  </si>
  <si>
    <t>From -26.469 to
 -26.540</t>
  </si>
  <si>
    <t>From 149.039 to 148.990</t>
  </si>
  <si>
    <t>Fine to Mainly Medium Grained Quartzofeldspathic and Lithic Alluvial Sand</t>
  </si>
  <si>
    <t>Bolzan Sand Supplies (Allora)</t>
  </si>
  <si>
    <t>RQ108</t>
  </si>
  <si>
    <t>2024-038</t>
  </si>
  <si>
    <t>Medium</t>
  </si>
  <si>
    <t>Southern Downs Regional Council</t>
  </si>
  <si>
    <t>1157 Dalrymple Creek Rd, Allora QLD 4362</t>
  </si>
  <si>
    <t>Bolzan Pty Ltd</t>
  </si>
  <si>
    <t>Fine to Coarse Quartzose Residual Sand Sourced from Weathered Sandstone</t>
  </si>
  <si>
    <t>Bonassi Tully River Sand (Ikes Sand Deposit)</t>
  </si>
  <si>
    <t>RQ538</t>
  </si>
  <si>
    <t>2025-151</t>
  </si>
  <si>
    <t>Cassowary Coast Regional Council</t>
  </si>
  <si>
    <t>Tully Hull Road, Lower Tully QLD 4854</t>
  </si>
  <si>
    <t>FA &amp; J Bonassi Farming Pty Ltd</t>
  </si>
  <si>
    <t>Lower Tully Road, Lower Tully QLD 4854</t>
  </si>
  <si>
    <t>Medium to Coarse Grained Quartzose and Lithic Alluvial Sand</t>
  </si>
  <si>
    <t>Bonassi's Bilyana Quarry</t>
  </si>
  <si>
    <t>RQ187</t>
  </si>
  <si>
    <t>2025-020</t>
  </si>
  <si>
    <t>Lauder Road, Off Middle Murray Road, Off Upper Murray Road, Murray Upper QLD 4854</t>
  </si>
  <si>
    <t>Porphyritic Rhyodacite with minor Dolerite/Andesite Dykes</t>
  </si>
  <si>
    <t>Bonathorne Quarry</t>
  </si>
  <si>
    <t>RQ402</t>
  </si>
  <si>
    <t>2025-134</t>
  </si>
  <si>
    <t>Balonne Shire Council</t>
  </si>
  <si>
    <t>7785 Castlereagh Highway, Dirranbandi QLD 4486</t>
  </si>
  <si>
    <t>K &amp; D Hadenfeldt Pty Ltd</t>
  </si>
  <si>
    <t>11 Perkins Street, Dirranbandi QLD 4486</t>
  </si>
  <si>
    <t>2.5
3.2
3.3
3.4
3.5
4
WQ35</t>
  </si>
  <si>
    <t>Siltstone (White) and Ridge Gravel (Red)</t>
  </si>
  <si>
    <t>Boral Booyal Quarry</t>
  </si>
  <si>
    <t>RQ198</t>
  </si>
  <si>
    <t>2024-066</t>
  </si>
  <si>
    <t>Bundaberg Regional Council</t>
  </si>
  <si>
    <t>196 Ringwood Road, Booyal QLD 4671</t>
  </si>
  <si>
    <t>Boral Resources (Qld) Pty Ltd</t>
  </si>
  <si>
    <t>Level 2/159 Coronation Drive MILTON QLD 4064</t>
  </si>
  <si>
    <t>Hornfelsed Volcanoclastic Metasiltstone with Minor Meta-arenite Interbeds</t>
  </si>
  <si>
    <t>Boral Cedars Quarry</t>
  </si>
  <si>
    <t>RQ110</t>
  </si>
  <si>
    <t>2024-075</t>
  </si>
  <si>
    <t>Woodwards Road, Off Holts Road, Mackay QLD 4502</t>
  </si>
  <si>
    <t>Boral Resources (QLD) Pty Ltd</t>
  </si>
  <si>
    <t>Level 2/159 Coronation Drive Milton QLD 4064</t>
  </si>
  <si>
    <t>Microdiorite/Andesite and Granodiorite with minor  dolerite dykes.</t>
  </si>
  <si>
    <t xml:space="preserve">Intermediate Igneous </t>
  </si>
  <si>
    <t>Boral Dundowran Quarry</t>
  </si>
  <si>
    <t>RQ028</t>
  </si>
  <si>
    <t>2024-018</t>
  </si>
  <si>
    <t>Lower Mountain Road, Dundowran QLD 4655</t>
  </si>
  <si>
    <t>Level 2 / 159 Coronation Drive, Milton QLD 4064</t>
  </si>
  <si>
    <t>Boral Malu Quarry</t>
  </si>
  <si>
    <t>RQ036</t>
  </si>
  <si>
    <t>2024-152</t>
  </si>
  <si>
    <t>Malu Road, Off Warrego Highway, Malu QLD 4403</t>
  </si>
  <si>
    <t>Boral Moy Pocket Quarry</t>
  </si>
  <si>
    <t>RQ037</t>
  </si>
  <si>
    <t>2025-060</t>
  </si>
  <si>
    <t>720 Moy Pocket Road, Kenilworth QLD 4574</t>
  </si>
  <si>
    <t>Level 2 /159 Coronation Drive, Milton QLD 4064</t>
  </si>
  <si>
    <t>Latite porphyry</t>
  </si>
  <si>
    <t>Boral Narangba Quarry</t>
  </si>
  <si>
    <t>RQ009</t>
  </si>
  <si>
    <t>2026-007</t>
  </si>
  <si>
    <t>Moreton Bay Regional Council</t>
  </si>
  <si>
    <t>485 Raynbird Road, Raynbird, Narangba, QLD 4504</t>
  </si>
  <si>
    <t>Level 2/159 Coronation Drive, Milton QLD 4064</t>
  </si>
  <si>
    <t>Greenstone/Hornfelsed Greenstone</t>
  </si>
  <si>
    <t>Boral Ormeau Quarry</t>
  </si>
  <si>
    <t>RQ010</t>
  </si>
  <si>
    <t>2024-156</t>
  </si>
  <si>
    <t>578 Upper Ormeau Road, Kingsholme QLD 4208</t>
  </si>
  <si>
    <t>Metagreywacke</t>
  </si>
  <si>
    <t>Boral Petrie Quarry</t>
  </si>
  <si>
    <t>RQ011</t>
  </si>
  <si>
    <t>2024-120</t>
  </si>
  <si>
    <t>645 Dayboro Road, Whiteside QLD 4502</t>
  </si>
  <si>
    <t>Greenstone</t>
  </si>
  <si>
    <t>Boral Purga Quarry</t>
  </si>
  <si>
    <t>RQ012</t>
  </si>
  <si>
    <t>2024-068</t>
  </si>
  <si>
    <t>Ipswich City Council</t>
  </si>
  <si>
    <t>T Morrows Road, Purga QLD 4356</t>
  </si>
  <si>
    <t>Boral Redlynch Quarry</t>
  </si>
  <si>
    <t>RQ013</t>
  </si>
  <si>
    <t>2025-084</t>
  </si>
  <si>
    <t>DEFAULT</t>
  </si>
  <si>
    <t>Cairns Regional Council</t>
  </si>
  <si>
    <t>622 Redlynch Intake Road, Redlynch QLD 4870</t>
  </si>
  <si>
    <t>Level 2/159 Coronation Drive, Milton  QLD 4007</t>
  </si>
  <si>
    <t>Boral Roseneath Quarry</t>
  </si>
  <si>
    <t>RQ190</t>
  </si>
  <si>
    <t>2024-146</t>
  </si>
  <si>
    <t>720 Stuart Drive, Roseneath QLD 4816</t>
  </si>
  <si>
    <t>Rhyodacitic Acid Tuff with subordinate Rhyolite &amp; Andesite</t>
  </si>
  <si>
    <t>Boral Tichum Creek Quarry</t>
  </si>
  <si>
    <t>RQ047</t>
  </si>
  <si>
    <t>2025-061</t>
  </si>
  <si>
    <t>Tablelands Regional Council</t>
  </si>
  <si>
    <t>3445 Kennedy Highway, Tichum Creek QLD 4880</t>
  </si>
  <si>
    <t>Boral Tomato Island Quarry</t>
  </si>
  <si>
    <t>RQ092</t>
  </si>
  <si>
    <t>2025-164</t>
  </si>
  <si>
    <t>Tomato Island Road (off Branyan Road), Bundaberg QLD 4670</t>
  </si>
  <si>
    <t>Medium to Coarse Quartzofeldspathic and Lithic  Alluvial Sand</t>
  </si>
  <si>
    <t>Boral Wellcamp Quarry</t>
  </si>
  <si>
    <t>RQ049</t>
  </si>
  <si>
    <t>2024-140</t>
  </si>
  <si>
    <t>Toowoomba-Cecils Plains Road, Wellcamp (via Toowoomba) QLD 4350</t>
  </si>
  <si>
    <t>Boral Testing Services, 130 Cullen Avenue West, Whinstanes, QLD 4007</t>
  </si>
  <si>
    <t>Boral West Burleigh Quarry</t>
  </si>
  <si>
    <t>RQ016</t>
  </si>
  <si>
    <t>2026-008</t>
  </si>
  <si>
    <t>Lot 9, Bermuda Street, Burleigh Heads QLD 4220</t>
  </si>
  <si>
    <t>Metagreywacke and Carbonaceous Metasiltstone (Argillite)</t>
  </si>
  <si>
    <t>BQC Sands Pty Ltd</t>
  </si>
  <si>
    <t>RQ082</t>
  </si>
  <si>
    <t>2025-068</t>
  </si>
  <si>
    <t>Burdekin Shire Council</t>
  </si>
  <si>
    <t>Bed of Burdekin River, 5-11 Mackenzie Street, Off Old Ayr-Home Hill Road, McDesme QLD 4807 and 5-11 MacKenzie Street, Ayr QLD4807</t>
  </si>
  <si>
    <t>5-7 Airdmillian Road, AYR QLD 4807</t>
  </si>
  <si>
    <t>Bracalba Quarry</t>
  </si>
  <si>
    <t>RQ002</t>
  </si>
  <si>
    <t>2025-069</t>
  </si>
  <si>
    <t>1865 D'Aguilar Highway, Bracalba QLD 4514</t>
  </si>
  <si>
    <t>Brisbane City Council, Asphalt and Aggregate Branch</t>
  </si>
  <si>
    <t>Greenstone &amp; Granite with minor hornfels</t>
  </si>
  <si>
    <t>Metamorphic and Acid Igneous</t>
  </si>
  <si>
    <t>Braeside Quarry</t>
  </si>
  <si>
    <t>RQ150</t>
  </si>
  <si>
    <t>2024-122</t>
  </si>
  <si>
    <t xml:space="preserve">21229 New England Highway, Braeside QLD 4370 </t>
  </si>
  <si>
    <t>Australian Crushing Services (ACS) Pty Ltd</t>
  </si>
  <si>
    <t>21229 New England Highway, Braeside QLD 4370</t>
  </si>
  <si>
    <t>Hornfels</t>
  </si>
  <si>
    <t>Brendale Sand &amp; Gravel Operation</t>
  </si>
  <si>
    <t>RQ025</t>
  </si>
  <si>
    <t>2025-036</t>
  </si>
  <si>
    <t>Johnstone Road, Brendale QLD 4500</t>
  </si>
  <si>
    <t>Neilsens Quality Gravels Pty Ltd</t>
  </si>
  <si>
    <t>Natural Sand and Gravel derived mainly from Quartzite, Metasiltstone, Vein Quartz, Metagreywacke and Greenstone sources.</t>
  </si>
  <si>
    <t>Bromelton North Quarry</t>
  </si>
  <si>
    <t>RQ191</t>
  </si>
  <si>
    <t>2025-142</t>
  </si>
  <si>
    <t>Sandy Creek Road, Bromelton QLD 4285</t>
  </si>
  <si>
    <t>50 Johnstone Road, Brendale QLD 4500</t>
  </si>
  <si>
    <t>Bromelton Quarry</t>
  </si>
  <si>
    <t>RQ053</t>
  </si>
  <si>
    <t>2025-140</t>
  </si>
  <si>
    <t>325 Sandy Creek Road, Bromelton QLD 4285</t>
  </si>
  <si>
    <t>Bromelton Quarry Pty Ltd</t>
  </si>
  <si>
    <t>Brookhill Quarry</t>
  </si>
  <si>
    <t>RQ133</t>
  </si>
  <si>
    <t>2025-095</t>
  </si>
  <si>
    <t>1-3 Pats Road, Brookhill QLD 4816</t>
  </si>
  <si>
    <t>Stradacon Penna Pty Ltd</t>
  </si>
  <si>
    <t>1 Pats Road, Brookhill QLD 4816</t>
  </si>
  <si>
    <t>Porphyritic Rhyolite with minor Quartz Latite/Microgranite Intrusions and Andesite/Trachy Andesite/Dolerite Dykes</t>
  </si>
  <si>
    <t>Brookview Quarry (Pittsworth)</t>
  </si>
  <si>
    <t>RQ333</t>
  </si>
  <si>
    <t>2023-113</t>
  </si>
  <si>
    <t>Jentz Road, Scrubby Mountain QLD 4356</t>
  </si>
  <si>
    <t>Pearljaney Pty Ltd
Trading as PK &amp; BT Bland Rural Enterprises Pty Ltd</t>
  </si>
  <si>
    <t>Silica Undersaturated Olivine Basalt</t>
  </si>
  <si>
    <t>Brumby Quarry</t>
  </si>
  <si>
    <t>RQ239</t>
  </si>
  <si>
    <t>2025-033</t>
  </si>
  <si>
    <t>Burke Shire Council</t>
  </si>
  <si>
    <t>Wills Development Road, Gregory QLD 4830 (26km west from Gregory Township)</t>
  </si>
  <si>
    <t>QCrush Pty Ltd</t>
  </si>
  <si>
    <t>1 Southdown Avenue, Mt. Isa QLD 4825</t>
  </si>
  <si>
    <t xml:space="preserve">2
3
4
WQ35
</t>
  </si>
  <si>
    <t>Partially Duricrustic Ferruginous and Silicified Siltstone</t>
  </si>
  <si>
    <t>Buckley Concrete Recycling Site</t>
  </si>
  <si>
    <t>RQ541</t>
  </si>
  <si>
    <t>2025-028</t>
  </si>
  <si>
    <t xml:space="preserve">Not Applicable </t>
  </si>
  <si>
    <t>5 Buckley Drive, Gympie QLD 4570</t>
  </si>
  <si>
    <t>Buckley Concrete Recycling Pty Ltd</t>
  </si>
  <si>
    <t>Burke River Sand Deposit</t>
  </si>
  <si>
    <t>RQ520</t>
  </si>
  <si>
    <t>2025-092</t>
  </si>
  <si>
    <t>Boulia Shire Council</t>
  </si>
  <si>
    <t>Burke River, Winton-Boulia Road, Boulia QLD 4829</t>
  </si>
  <si>
    <t>PE &amp; GC Harris Road Contractors Pty Ltd</t>
  </si>
  <si>
    <t>9 Pituri Street, Boulia QLD 4829</t>
  </si>
  <si>
    <t>Mainly Medium to Coarse Grained Quartzose-Feldspathic &amp; Lithic Alluvial Sand</t>
  </si>
  <si>
    <t>Burnett River Sand</t>
  </si>
  <si>
    <t>RQ230</t>
  </si>
  <si>
    <t>2025-049</t>
  </si>
  <si>
    <t>Located in bed  off Burnett River, Lot 64 Richards Rd, Gayndah QLD 4625</t>
  </si>
  <si>
    <t>Coeur D’Alene Pty Ltd and Calbeninka Pty Ltd T/A Boodle's Concrete</t>
  </si>
  <si>
    <t>12 Mary Street, Gayndah QLD 4625.</t>
  </si>
  <si>
    <t>Medium to Coarse Grained Quartzofeldspathic and Lithic Alluvial Sand</t>
  </si>
  <si>
    <t>Bussey (Palmyra) Quarry</t>
  </si>
  <si>
    <t>RQ218</t>
  </si>
  <si>
    <t>2025-150</t>
  </si>
  <si>
    <t xml:space="preserve">Boomerang Road, Palmyra QLD 4751  </t>
  </si>
  <si>
    <t>Summit Construction Materials Pty Ltd</t>
  </si>
  <si>
    <t>79 Phillip Street, Mount Pleasant QLD 4740</t>
  </si>
  <si>
    <t>Hornfelsed Carbonaceous Mudstone/ Siltstone/Arenite with minor Diorite (Feldspar Porphyry) &amp; Andesite Dyke/Sill Intrusions</t>
  </si>
  <si>
    <t>Byrne Bros Mary River Quarry</t>
  </si>
  <si>
    <t>RQ117</t>
  </si>
  <si>
    <t>2023-116</t>
  </si>
  <si>
    <t>Jupiter Street (off Queen St), 344 Queen Street, Maryborough Qld 4650</t>
  </si>
  <si>
    <t>Byrne Bros Pty Ltd</t>
  </si>
  <si>
    <t>69 Ferry Street, Maryborough Qld 4650</t>
  </si>
  <si>
    <t>Natural Alluvial Sand and Gravel</t>
  </si>
  <si>
    <t>Byrock (Boral) Quarry</t>
  </si>
  <si>
    <t>RQ146</t>
  </si>
  <si>
    <t>2024-022</t>
  </si>
  <si>
    <t>Bourke Shire Council</t>
  </si>
  <si>
    <t>Coronga Peak Road, Cobar, (Via Cobar Street Byrock NSW 2831)</t>
  </si>
  <si>
    <t>Boral  Resources (Country) Pty Ltd</t>
  </si>
  <si>
    <t>Triniti 2, 39 Delhi Road, North Ryde NSW 2113</t>
  </si>
  <si>
    <t>Felspathoid Olivine Basalt (Leucite Basanite)</t>
  </si>
  <si>
    <t>Calliope Pit</t>
  </si>
  <si>
    <t>RQ392</t>
  </si>
  <si>
    <t>2025-101</t>
  </si>
  <si>
    <t>Gladstone Regional Council</t>
  </si>
  <si>
    <t>Carrara Road, Calliope QLD 4680 (approximately 8km northwest of Calliope)</t>
  </si>
  <si>
    <t>Grycan Pty Ltd, T/A Blomfield Excavations</t>
  </si>
  <si>
    <t>28 Morgan Street, Gladstone QLD 4680</t>
  </si>
  <si>
    <t>Mainly Medium to Coarse Quartzofeldspathic &amp; Lithic Alluvial Sand</t>
  </si>
  <si>
    <t>CAMM North Quarry</t>
  </si>
  <si>
    <t>RQ347</t>
  </si>
  <si>
    <t>2025-004</t>
  </si>
  <si>
    <t>via Toomulla Road, Off Bruce Highway, Rollingstone QLD 4816</t>
  </si>
  <si>
    <t>CAMM North Pty Ltd</t>
  </si>
  <si>
    <t>26-28 Crocodile Crescent, Bohle QLD 4814</t>
  </si>
  <si>
    <t>Porphyritic Rhyolite/Microgranite and Granitic Porphyry</t>
  </si>
  <si>
    <t>CAMM Roseneath Quarry</t>
  </si>
  <si>
    <t>RQ480</t>
  </si>
  <si>
    <t>36 Curley Circuit, Roseneath QLD 4811</t>
  </si>
  <si>
    <t>CAMM Quarries Pty Ltd</t>
  </si>
  <si>
    <t>Rhyodacitic Acid Tuff with Rhyolite/Microgranite Intrusions and minor Microdiorite/ Dacite/Andesite Dykes</t>
  </si>
  <si>
    <t>Cape Fine Sands (CFS)</t>
  </si>
  <si>
    <t>RQ294</t>
  </si>
  <si>
    <t>2025-044</t>
  </si>
  <si>
    <t xml:space="preserve">159 Carty Road, Cape Cleveland QLD 4810 </t>
  </si>
  <si>
    <t xml:space="preserve">Bedrock Landscape Suppliers Townsville Pty Ltd </t>
  </si>
  <si>
    <t>13 Lynam Road, Bohle Plains QLD 4817</t>
  </si>
  <si>
    <t>Mainly Fine to Medium Quartzofeldspathic and Lithic Dunal Sand</t>
  </si>
  <si>
    <t>Captains Mountain Quarry</t>
  </si>
  <si>
    <t>RQ253</t>
  </si>
  <si>
    <t>2024-058</t>
  </si>
  <si>
    <t>113 -117 Blackwell Road,  Captains Mountain QLD 4357</t>
  </si>
  <si>
    <t>Castle Creek Quarry</t>
  </si>
  <si>
    <t>RQ135</t>
  </si>
  <si>
    <t>2025-128</t>
  </si>
  <si>
    <t>Banana Shire Council</t>
  </si>
  <si>
    <t>499 Defence Road, Castle Creek QLD 4718</t>
  </si>
  <si>
    <t>Regional Group Australia (RGA) Pty Ltd</t>
  </si>
  <si>
    <t>Level 6/144 Edward Street Brisbane QLD 4000</t>
  </si>
  <si>
    <t>Andesite</t>
  </si>
  <si>
    <t>Castlereagh Quarry</t>
  </si>
  <si>
    <t>RQ224</t>
  </si>
  <si>
    <t>2025-109</t>
  </si>
  <si>
    <t>Cloncurry Shire Council</t>
  </si>
  <si>
    <t>Zingari Road, Cloncurry QLD 4824</t>
  </si>
  <si>
    <t>Wagners Quarries Pty Ltd</t>
  </si>
  <si>
    <t>11 Ballera Court, Wellcamp QLD 4350</t>
  </si>
  <si>
    <t>Calc-Silicate Hornfels (Granofels) and Hornfelsed Calcareous Metasiltstone</t>
  </si>
  <si>
    <t>Central Highlands Quarry</t>
  </si>
  <si>
    <t>RQ399</t>
  </si>
  <si>
    <t>2022-034</t>
  </si>
  <si>
    <t>Off Rubyvale - Sapphire Road (Old Quarry Road), Rubyvale QLD 4702</t>
  </si>
  <si>
    <t>Crystal Mining Pty Ltd</t>
  </si>
  <si>
    <t>8 Anakie Sapphire Road, Anakie QLD 4702</t>
  </si>
  <si>
    <t>Fine to coarse quartzose and lithic alluvial sand</t>
  </si>
  <si>
    <t>Chesalon (Alpha) Quarry</t>
  </si>
  <si>
    <t>RQ112</t>
  </si>
  <si>
    <t>2025-072</t>
  </si>
  <si>
    <t>Barcaldine Regional Council</t>
  </si>
  <si>
    <t>2027 Alpha-Tambo Road, Alpha QLD 4725 (Approximately 19km south of Alpha)</t>
  </si>
  <si>
    <t>Michael Horman Transport Pty Ltd</t>
  </si>
  <si>
    <t>1A, Oak Street, Barcaldine QLD 4725</t>
  </si>
  <si>
    <t>Porphyritic Andesite</t>
  </si>
  <si>
    <t>Chevallum Sand Plant</t>
  </si>
  <si>
    <t>RQ219</t>
  </si>
  <si>
    <t>2024-078</t>
  </si>
  <si>
    <t>Sunshine Coast Regional Council</t>
  </si>
  <si>
    <t>Winston Road South, Off Chevallum Road, Chevallum QLD 4555</t>
  </si>
  <si>
    <t>Cordwell Resources Pty Ltd</t>
  </si>
  <si>
    <t>11-21 Cordwell Road, Yandina QLD 4561</t>
  </si>
  <si>
    <t>Fine to Medium Quartz Residual Sand</t>
  </si>
  <si>
    <t>Cloncurry River Sand &amp; Gravel Operation</t>
  </si>
  <si>
    <t>RQ225</t>
  </si>
  <si>
    <t>2025-027</t>
  </si>
  <si>
    <t>Burke Development Road, Cloncurry QLD 4824</t>
  </si>
  <si>
    <t>Lawlor Contracting Pty Ltd</t>
  </si>
  <si>
    <t>12 Mcillwraith Street, Cloncurry QLD 4824</t>
  </si>
  <si>
    <t>Alluvial Sand and Gravel</t>
  </si>
  <si>
    <t>Clutha Creek Sands (CCS Group)</t>
  </si>
  <si>
    <t>RQ165</t>
  </si>
  <si>
    <t>2025-035</t>
  </si>
  <si>
    <t>Logan City Council</t>
  </si>
  <si>
    <t>Clutha Creek Road (Off Tamborine Waterford Road), Tamborine QLD 4270</t>
  </si>
  <si>
    <t>CCS Materials Pty Ltd</t>
  </si>
  <si>
    <t>Clutha Creek Road, Tamborine QLD 4270</t>
  </si>
  <si>
    <t>Fine to coarse quartzose and lithic residual sand</t>
  </si>
  <si>
    <t>Coastal Quarries Pty Ltd</t>
  </si>
  <si>
    <t>RQ565</t>
  </si>
  <si>
    <t>2025-148</t>
  </si>
  <si>
    <t>Douglas Shire Council</t>
  </si>
  <si>
    <t>Mossman Daintree Road, Rocky Point QLD 4873</t>
  </si>
  <si>
    <t>Ross Dorrens Garnsey</t>
  </si>
  <si>
    <t>Mossman Daintree Road, Rocky Point QLD 4573</t>
  </si>
  <si>
    <t>Loamy Sandy Silt/Silty Sand</t>
  </si>
  <si>
    <t xml:space="preserve">Supplementary Materials </t>
  </si>
  <si>
    <t>Coastal Sands</t>
  </si>
  <si>
    <t>RQ194</t>
  </si>
  <si>
    <t>2024-057</t>
  </si>
  <si>
    <t>150 Mill Road, Steiglitz QLD 4207</t>
  </si>
  <si>
    <t>Genesis Holdings (QLD) Pty Ltd</t>
  </si>
  <si>
    <t>Fine to Medium Grained Quartzose Coastal Dunal Sand</t>
  </si>
  <si>
    <t>Coles Quarry</t>
  </si>
  <si>
    <t>RQ419</t>
  </si>
  <si>
    <t>2024-061</t>
  </si>
  <si>
    <t>Lot 178 &amp; Lot 179 Mount Goonaneman Road, Dallarnil QLD 4621</t>
  </si>
  <si>
    <t>Coles Quarry Supplies Pty Ltd</t>
  </si>
  <si>
    <t>13 Gelsomino's Road, Childers QLD 4660</t>
  </si>
  <si>
    <t>Hornfelsed Volcanoclastic Siltstone and Sandstone</t>
  </si>
  <si>
    <t>Conondale Quarry</t>
  </si>
  <si>
    <t>RQ495</t>
  </si>
  <si>
    <t>2025-082</t>
  </si>
  <si>
    <t>2316 Maleny-Kenilworth Rd, Conondale QLD 4552</t>
  </si>
  <si>
    <t>SMSF Property Resources Pty Ltd</t>
  </si>
  <si>
    <t>Level 1, 800 Kingsford Smith Drive, Eagle Farm QLD 4009</t>
  </si>
  <si>
    <t>Fine to Coarse Grained Quartzofeldspathic and Lithic Alluvial Sand</t>
  </si>
  <si>
    <t>Coominya Sand Plant</t>
  </si>
  <si>
    <t>RQ325</t>
  </si>
  <si>
    <t>2024-072</t>
  </si>
  <si>
    <t>Fox's Road, Off Coominya-Connection Road, Coominya QLD 4311</t>
  </si>
  <si>
    <t>Hy-Tec Industries (Qld) Pty Ltd</t>
  </si>
  <si>
    <t>1630 Brisbane Valley Highway, Fernvale QLD 4306</t>
  </si>
  <si>
    <t>Mainly Medium to Coarse Grained Quartzose &amp; Lithic Alluvial Sand</t>
  </si>
  <si>
    <t>Coorooman Quarry</t>
  </si>
  <si>
    <t>RQ531</t>
  </si>
  <si>
    <t>2024-123</t>
  </si>
  <si>
    <t>Rockhampton Regional Council</t>
  </si>
  <si>
    <t>2816 Emu Park Road, Coorooman QLD 4702</t>
  </si>
  <si>
    <t>Barlows Earthmoving Pty Ltd</t>
  </si>
  <si>
    <t>Volcanoclastic Metasiltstone/Metasandstone</t>
  </si>
  <si>
    <t>Corridor Sands Pty Ltd</t>
  </si>
  <si>
    <t>RQ166</t>
  </si>
  <si>
    <t>2024-094</t>
  </si>
  <si>
    <t>71 Marks Road, Woongoolba QLD 4207</t>
  </si>
  <si>
    <t>Fine to Medium Quartzofeldspathic &amp; Lithic Alluvial sand</t>
  </si>
  <si>
    <t>Cryna Road Quarry</t>
  </si>
  <si>
    <t>RQ097</t>
  </si>
  <si>
    <t>2025-141</t>
  </si>
  <si>
    <t>468 Cryna Road, Beaudesert QLD 4285</t>
  </si>
  <si>
    <t>Cullen Island - Ron Camm Sand</t>
  </si>
  <si>
    <t>RQ215</t>
  </si>
  <si>
    <t>2024-088</t>
  </si>
  <si>
    <t xml:space="preserve">Access via Hume Street, West Mackay QLD 4740  </t>
  </si>
  <si>
    <t>Mobile Crushing Co. Pty. Ltd T/A Mackay Sand and Gravel Sales</t>
  </si>
  <si>
    <t>11B Harbour City Central
216 Harbour Road, Mackay Harbour QLD 4740</t>
  </si>
  <si>
    <t>Cungulla Fine Sand</t>
  </si>
  <si>
    <t>RQ027</t>
  </si>
  <si>
    <t>2024-106</t>
  </si>
  <si>
    <t>Carty Road, Cape Cleveland QLD 4810 (Off Goodsell Road)</t>
  </si>
  <si>
    <t>Hanson Construction Materials Pty Ltd</t>
  </si>
  <si>
    <t>10 Boulevard, Brisbane Airport QLD 4008</t>
  </si>
  <si>
    <t>Mainly Fine to Medium Quartzofeldspathic Dunal Sand</t>
  </si>
  <si>
    <t>Currumbin Minerals Sand</t>
  </si>
  <si>
    <t>RQ494</t>
  </si>
  <si>
    <t>2025-139</t>
  </si>
  <si>
    <t>Lot 101, Stewart Road, Currumbin QLD 4223</t>
  </si>
  <si>
    <t>Currumbin Minerals Pty Ltd</t>
  </si>
  <si>
    <t>20 Wheeler Crescent Currumbin QLD 4223</t>
  </si>
  <si>
    <t>Fine to Medium Quartz Dunal Sand</t>
  </si>
  <si>
    <t>Cutler's Sand Pit - St George</t>
  </si>
  <si>
    <t>RQ257</t>
  </si>
  <si>
    <t>2024-045</t>
  </si>
  <si>
    <t>Whyenbah Road, St George QLD 4487</t>
  </si>
  <si>
    <t>St George Excavators Pty Ltd</t>
  </si>
  <si>
    <t>5 Aldridge Street, St George QLD 4487</t>
  </si>
  <si>
    <t>Mainly Medium to Coarse Quartzose Alluvial Sand</t>
  </si>
  <si>
    <t>Daunia Quarry</t>
  </si>
  <si>
    <t>RQ421</t>
  </si>
  <si>
    <t>2024-040</t>
  </si>
  <si>
    <t>Isaac Regional Council</t>
  </si>
  <si>
    <t>1566 Barada Barna Road Valkyrie QLD 4742. (Previously 2503 Annandale Road, Coppabella QLD 4741)</t>
  </si>
  <si>
    <t>Moorvale Earthmoving Pty Ltd</t>
  </si>
  <si>
    <t>Unit 10 Terminus Business Park, Caterpillar Drive, Paget Mackay QLD 4740</t>
  </si>
  <si>
    <t>C
D</t>
  </si>
  <si>
    <t>Feldspar Porphyry</t>
  </si>
  <si>
    <t>Don River (Bowen) Sand Deposit</t>
  </si>
  <si>
    <t>RQ311</t>
  </si>
  <si>
    <t>2024-100</t>
  </si>
  <si>
    <t>Near Russel's Crossing, Off Lower Don Road, Millers Lane, Don River, Bowen QLD 4805</t>
  </si>
  <si>
    <t>10 Pantall Street, Bowen QLD 4805</t>
  </si>
  <si>
    <t>Mainly Medium to Coarse Grained Lithic and Quartzofeldspathic Alluvial Sand with Granitic Derivation.</t>
  </si>
  <si>
    <t>Don River Mouth Sand</t>
  </si>
  <si>
    <t>RQ436</t>
  </si>
  <si>
    <t>2024-071</t>
  </si>
  <si>
    <t>Bed of Don River near mouth, Off Lower Don Road, Bowen QLD 4805</t>
  </si>
  <si>
    <t>Mirthill Pty Ltd / Pat McDonnell Earthmoving</t>
  </si>
  <si>
    <t>18911 Bruce Highway, Bowen QLD 4805</t>
  </si>
  <si>
    <t>Fine to Mainly Medium Quartzofeldspathic &amp; Lithic Alluvial Sand of mainly granitoid derivation</t>
  </si>
  <si>
    <t>Donsford Crossing Sand</t>
  </si>
  <si>
    <t>RQ372</t>
  </si>
  <si>
    <t>2025-046</t>
  </si>
  <si>
    <t>Adjacent to Lot 1 and Lot 46 on Plan B6611, Off Bowen Developmental Road, Bowen QLD 4805</t>
  </si>
  <si>
    <t>Pat McDonnell Earthmoving</t>
  </si>
  <si>
    <t>Mainly Medium to Coarse Quartzofeldspathic and Lithic Alluvial Sand of Granitoid Derivation</t>
  </si>
  <si>
    <t>Dulong Quarry</t>
  </si>
  <si>
    <t>RQ197</t>
  </si>
  <si>
    <t>2025-057</t>
  </si>
  <si>
    <t>Sherwell Road (near Dulong School Rd intersection), Dulong QLD 4560</t>
  </si>
  <si>
    <t>178 Image Flat Road, Image Flat QLD 4560</t>
  </si>
  <si>
    <t>Dundowran West Quarry (Barro Group)</t>
  </si>
  <si>
    <t>RQ055</t>
  </si>
  <si>
    <t>2024-136</t>
  </si>
  <si>
    <t>351 Hornes Road, Takura QLD 4655</t>
  </si>
  <si>
    <t>Dundowran Blue Metal Quarries Pty Ltd</t>
  </si>
  <si>
    <t>191 Drummond Street, Carlton South Victoria 3053</t>
  </si>
  <si>
    <t>Dunloe Sands</t>
  </si>
  <si>
    <t>RQ423</t>
  </si>
  <si>
    <t>2023-100</t>
  </si>
  <si>
    <t xml:space="preserve">Byron Bay Council </t>
  </si>
  <si>
    <t>Kellehers Road &amp; Pottsville Road, Dunloe Park, Pottsville NSW 2484</t>
  </si>
  <si>
    <t>Holcim Australia Pty Ltd</t>
  </si>
  <si>
    <t>18 Little Crib Street, Milton QLD 4064</t>
  </si>
  <si>
    <t>Eagleby Sand Deposit</t>
  </si>
  <si>
    <t>RQ196</t>
  </si>
  <si>
    <t>2024-059</t>
  </si>
  <si>
    <t>625 Beenleigh-Redland Bay Road, Carbrook QLD 4127</t>
  </si>
  <si>
    <t>Carbrook Sands Pty Ltd</t>
  </si>
  <si>
    <t>Corner Riverland &amp; Monte-Khoury Drive, Loganholme QLD 4129</t>
  </si>
  <si>
    <t>Fine to Mainly Medium Quartzofeldspathic &amp; Lithic Alluvial Sand</t>
  </si>
  <si>
    <t>Emu Creek Sand Quarry</t>
  </si>
  <si>
    <t>RQ550</t>
  </si>
  <si>
    <t>2025-039</t>
  </si>
  <si>
    <t>ML20663 Tinaroo Creek Road, Mareeba QLD 4880</t>
  </si>
  <si>
    <t>Conmat Pty Ltd</t>
  </si>
  <si>
    <t>936 Tinaroo Creek Road Mareeba Qld 4880</t>
  </si>
  <si>
    <t>Medium to Mainly Coarse Grained Quartzofeldspathic and Lithic Alluvial/Colluvial Sand</t>
  </si>
  <si>
    <t>Eureka Quarry</t>
  </si>
  <si>
    <t>RQ340</t>
  </si>
  <si>
    <t>2024-082</t>
  </si>
  <si>
    <t>2098 Yan Yan Road, Capella QLD 4723</t>
  </si>
  <si>
    <t>Quarries of Queensland Pty Ltd</t>
  </si>
  <si>
    <t>26 Little Farm Road, Emerald QLD 4720</t>
  </si>
  <si>
    <t>Fairfield Quarry</t>
  </si>
  <si>
    <t>RQ199</t>
  </si>
  <si>
    <t>2025-058</t>
  </si>
  <si>
    <t>Peak Downs Highway, Wolfgang QLD 4721</t>
  </si>
  <si>
    <t>Regional Quarries Australia Pty Ltd</t>
  </si>
  <si>
    <t>33 Enterprise Drive Gracemere QLD 4702</t>
  </si>
  <si>
    <t>Fairview Quarry</t>
  </si>
  <si>
    <t>RQ220</t>
  </si>
  <si>
    <t>2025-086</t>
  </si>
  <si>
    <t>310 Fairview Road, Banana QLD 4702</t>
  </si>
  <si>
    <t>20L Sheraton Road, Dubbo NSW 2830</t>
  </si>
  <si>
    <t>Andesitic Porphyry</t>
  </si>
  <si>
    <t>Fairy Bower Quarry</t>
  </si>
  <si>
    <t>RQ563</t>
  </si>
  <si>
    <t>2024-121</t>
  </si>
  <si>
    <t>247 McLaughlin Street Gracemere QLD4700</t>
  </si>
  <si>
    <t>Lewdalla Group Pty Ltd T/A QVC Operations</t>
  </si>
  <si>
    <t>473 Nine Mile Road, Fairy Bower QLD 4700</t>
  </si>
  <si>
    <t>2.5
3.5
4</t>
  </si>
  <si>
    <t>Volcanoclastic Metasiltstone and Metasandstone with minor Andesitic Agglomerate &amp; Dolerite Dykes</t>
  </si>
  <si>
    <t>Farleigh Quarry</t>
  </si>
  <si>
    <t>RQ136</t>
  </si>
  <si>
    <t>2025-093</t>
  </si>
  <si>
    <t>398 Farleigh Habana Road, Habana QLD 4740</t>
  </si>
  <si>
    <t>Heidelberg Materials Australia Pty Ltd</t>
  </si>
  <si>
    <t>10 The Boulevard, BRISBANE AIRPORT QLD 4008</t>
  </si>
  <si>
    <t>Meta-basalt / Meta-andesitic Porphyry and Subordinate Meta-microdiorite Dykes</t>
  </si>
  <si>
    <t>Ferny Grove Quarry</t>
  </si>
  <si>
    <t>RQ056</t>
  </si>
  <si>
    <t>2025-063</t>
  </si>
  <si>
    <t>164 Upper Kedron Road, Ferny Grove QLD 4055</t>
  </si>
  <si>
    <t xml:space="preserve">10, The Boulevard, Brisbane Airport QLD 4008 </t>
  </si>
  <si>
    <t>Pelitic hornfels with minor granite intrusions and quartz veins</t>
  </si>
  <si>
    <t>Foxdale Quarry</t>
  </si>
  <si>
    <t>RQ267</t>
  </si>
  <si>
    <t>2024-147</t>
  </si>
  <si>
    <t>Quarry Road, Proserpine QLD 4800</t>
  </si>
  <si>
    <t>Andesitic Tuff and Microdiorite (See Comments 1 &amp; 2 below)</t>
  </si>
  <si>
    <t>Fraser Coast Sand &amp; Gravel</t>
  </si>
  <si>
    <t>RQ071</t>
  </si>
  <si>
    <t>2024-144</t>
  </si>
  <si>
    <t>12 Toogoom Cane Road, Takura QLD 4655</t>
  </si>
  <si>
    <t>Yougro Pty Ltd</t>
  </si>
  <si>
    <t>Fine Grained Dunal Quartz Sand</t>
  </si>
  <si>
    <t>Gladstone Park Sand Quarry</t>
  </si>
  <si>
    <t>RQ464</t>
  </si>
  <si>
    <t>2026-015</t>
  </si>
  <si>
    <t>Bed of the Don River, Gladstone Park Road, Bowen QLD 4806</t>
  </si>
  <si>
    <t>Humphries Pty Ltd</t>
  </si>
  <si>
    <t>13 Nicol Street, Proserpine QLD 4800</t>
  </si>
  <si>
    <t>Medium to Coarse Quartzofeldspathic and Lithic Alluvial Sand derived from a granitoid origin</t>
  </si>
  <si>
    <t>Glasshouse Quarry</t>
  </si>
  <si>
    <t>RQ031</t>
  </si>
  <si>
    <t>2024-104</t>
  </si>
  <si>
    <t>Corner Old Gympie Road &amp; Beerwah Mountain Road, Glass House Mountains QLD 4518</t>
  </si>
  <si>
    <t>10 The Boulevard, Brisbane Airport QLD 4008</t>
  </si>
  <si>
    <t>Latite Tuff</t>
  </si>
  <si>
    <t>Glendon Quarry</t>
  </si>
  <si>
    <t>RQ201</t>
  </si>
  <si>
    <t>2025-107</t>
  </si>
  <si>
    <t xml:space="preserve">Glendon Road, Anakie QLD 4702  </t>
  </si>
  <si>
    <t>20L Sheraton Road Dubbo NSW 2830</t>
  </si>
  <si>
    <t>Gordonbrook Sand Quarry</t>
  </si>
  <si>
    <t>RQ476</t>
  </si>
  <si>
    <t>2026-003</t>
  </si>
  <si>
    <t>South Burnett Regional Council</t>
  </si>
  <si>
    <t>Wilson Road, Gordonbrook QLD 4610</t>
  </si>
  <si>
    <t>Second Chance (AUST) Pty Ltd T/A Mick Johnson Haulage</t>
  </si>
  <si>
    <t>53-55 Rosella Parade, Kingaroy QLD 4610</t>
  </si>
  <si>
    <t>Fine to Coarse Quartzofeldspathic Alluvial and Eluvial Sand</t>
  </si>
  <si>
    <t>Gordon's Quarry Bowen</t>
  </si>
  <si>
    <t>RQ085</t>
  </si>
  <si>
    <t>2024-096</t>
  </si>
  <si>
    <t>2204, Bowen Developmental Road, Bowen QLD 4804</t>
  </si>
  <si>
    <t>Micro-granodiorite / Microgranite with minor Andesite Dykes</t>
  </si>
  <si>
    <t>Granton (Boulia) Quarry</t>
  </si>
  <si>
    <t>RQ518</t>
  </si>
  <si>
    <t>2025-030</t>
  </si>
  <si>
    <t>Granton Station, Winton-Boulia Road, Boulia QLD 4829 (54km east of Boulia)</t>
  </si>
  <si>
    <t>Micritic Limestone</t>
  </si>
  <si>
    <t>Graymont (Calliope) Quarry</t>
  </si>
  <si>
    <t>RQ075</t>
  </si>
  <si>
    <t>2025-113</t>
  </si>
  <si>
    <t>MS24 Taragoola Road, Calliope QLD 4680</t>
  </si>
  <si>
    <t>Graymont (Calliope) Pty Limited</t>
  </si>
  <si>
    <t>MS 24 Taragoola Road, Calliope QLD 4680</t>
  </si>
  <si>
    <t>Recrystallized Fossiliferous Limestone</t>
  </si>
  <si>
    <t>Grosvenor Quarry</t>
  </si>
  <si>
    <t>RQ202</t>
  </si>
  <si>
    <t>2025-099</t>
  </si>
  <si>
    <t>Off Moranbah Access Road, Moranbah QLD 4744</t>
  </si>
  <si>
    <t>Quarrico Products Pty Ltd</t>
  </si>
  <si>
    <t>Lot 118 Munbura Road Belberra QLD 4740</t>
  </si>
  <si>
    <t>Gulera Road Pit</t>
  </si>
  <si>
    <t>RQ545</t>
  </si>
  <si>
    <t>2024-079</t>
  </si>
  <si>
    <t>234 Gulera Road, Kumbarilla, QLD 4405</t>
  </si>
  <si>
    <t>Tierney Crushing &amp; Transport Pty Ltd</t>
  </si>
  <si>
    <t>11574, Carnarvon Highway, St George QLD 4487</t>
  </si>
  <si>
    <t>Type 4</t>
  </si>
  <si>
    <t>Sandstone, Siltstone, Mudstone with Partly Ferruginised and Silicified Zones</t>
  </si>
  <si>
    <t>Hard Rock Quarries (Yerra - Black Pit)</t>
  </si>
  <si>
    <t>RQ437</t>
  </si>
  <si>
    <t>2024-097</t>
  </si>
  <si>
    <t>776 Yerra Road, Yerra QLD 4650</t>
  </si>
  <si>
    <t>Quarry Boys Gympie Pty Ltd</t>
  </si>
  <si>
    <t>Trachyte</t>
  </si>
  <si>
    <t>Harlaxton Quarry</t>
  </si>
  <si>
    <t>RQ005</t>
  </si>
  <si>
    <t>2024-160</t>
  </si>
  <si>
    <t>3 Munro Street, off New England Highway Harlaxton QLD 4350</t>
  </si>
  <si>
    <t>Quarry Products Pty Ltd</t>
  </si>
  <si>
    <t>3 Munro Street, Toowoomba QLD 4350</t>
  </si>
  <si>
    <t xml:space="preserve"> Silica Undersaturated Glassy Olivine Basalt</t>
  </si>
  <si>
    <t>Harlin Toogoolawah Hardrock Quarry (Karreman)</t>
  </si>
  <si>
    <t>RQ271</t>
  </si>
  <si>
    <t>2025-059</t>
  </si>
  <si>
    <t>Sinnamon Lane, Harlin QLD 4306</t>
  </si>
  <si>
    <t>Karreman Quarries Pty Ltd</t>
  </si>
  <si>
    <t>616-632 West Mount Cotton Road, Mt Cotton QLD 4163</t>
  </si>
  <si>
    <t>Andesitic Lithic Tuff and Microdiorite Porphyry</t>
  </si>
  <si>
    <t>Harris (Palmyra) Quarry</t>
  </si>
  <si>
    <t>RQ137</t>
  </si>
  <si>
    <t>2024-134</t>
  </si>
  <si>
    <t>303 Bells Road, Palmyra QLD 4751</t>
  </si>
  <si>
    <t xml:space="preserve">Hornfelsed Volcanoclastic Arenite/Siltstone/Ash tuff and minor andesite intrusions </t>
  </si>
  <si>
    <t>Harrybrandt Sand Quarry</t>
  </si>
  <si>
    <t>RQ438</t>
  </si>
  <si>
    <t>2025-038</t>
  </si>
  <si>
    <t>Harrybrandt Creek, Off Fitzroy Development Road, Nebo QLD 4742</t>
  </si>
  <si>
    <t>Glenn Howell - HB Contractors Pty Ltd</t>
  </si>
  <si>
    <t>872 Cockenzie Road, Nebo QLD 4742</t>
  </si>
  <si>
    <t>Fine to Mainly Medium Quartzose Alluvial Sand</t>
  </si>
  <si>
    <t>Hart Street Sand Plant (Oxenford Quarry)</t>
  </si>
  <si>
    <t>RQ512</t>
  </si>
  <si>
    <t>2024-115</t>
  </si>
  <si>
    <t>19 Hart Street, Upper Coomera QLD 4210</t>
  </si>
  <si>
    <t>Nucrush Pty Ltd</t>
  </si>
  <si>
    <t>Haughton River Sand (Burdekin Transport Services)</t>
  </si>
  <si>
    <t>RQ501</t>
  </si>
  <si>
    <t>2024-083</t>
  </si>
  <si>
    <t>Bed of Haughton River, off Coach road, Adjacent to 1004 Upper Haughton Road, Upper Haughton, QLD 4809</t>
  </si>
  <si>
    <t>Burdekin Transport Services Pty Ltd</t>
  </si>
  <si>
    <t>5-11 Mackenzie Street, Ayr QLD 4807</t>
  </si>
  <si>
    <t>Medium to Coarse Lithic-Quartzose Alluvial Sand</t>
  </si>
  <si>
    <t>Haughton River Sand Deposit (McCahill)</t>
  </si>
  <si>
    <t>RQ489</t>
  </si>
  <si>
    <t>2024-143</t>
  </si>
  <si>
    <t>Corner of Poletti Road &amp; Upper Haughton Road, Giru QLD 4809</t>
  </si>
  <si>
    <t>Greg McCahill Earthworks &amp; Haulage Pty Ltd operating as Bulk Sand and Natural Aggregates (BSNA)</t>
  </si>
  <si>
    <t>3 Bottlebrush Court, Nome QLD 4816</t>
  </si>
  <si>
    <t>Medium to Coarse Quartzose Feldspathic and Lithic Alluvial Sand</t>
  </si>
  <si>
    <t>Haughton River Sand Pit (Barro Group)</t>
  </si>
  <si>
    <t>RQ270</t>
  </si>
  <si>
    <t>2024-154</t>
  </si>
  <si>
    <t>Bahrs Road, Giru QLD 4809</t>
  </si>
  <si>
    <t>191 Drummond Street, Carlton Victoria 3053</t>
  </si>
  <si>
    <t>Hemmant Sand Plant</t>
  </si>
  <si>
    <t>RQ156</t>
  </si>
  <si>
    <t>2024-118</t>
  </si>
  <si>
    <t>Sand is dredged from the Spitfire Channel in the Northern Moreton Bay and processed at 168 Anton Road, Hemmant QLD 4174</t>
  </si>
  <si>
    <t>Riverside Industrial Sands Pty Ltd</t>
  </si>
  <si>
    <t>161 Breakfast Creek Road, Newstead QLD 4006</t>
  </si>
  <si>
    <t>Fine to Mainly Medium Grained Quartz Marine Bay Sand</t>
  </si>
  <si>
    <t>Herbert River (Spina) Sand Pit</t>
  </si>
  <si>
    <t>RQ126</t>
  </si>
  <si>
    <t>2025-048</t>
  </si>
  <si>
    <t>Hinchinbrook Shire Council</t>
  </si>
  <si>
    <t>Access via Ingham-Abergowrie Road, Abergowrie QLD 4850</t>
  </si>
  <si>
    <t>Zanghi Earthmoving Pty Ltd for Holcim (Australia) Pty Ltd</t>
  </si>
  <si>
    <t>55 Macrossan Street Halifax QLD 4850</t>
  </si>
  <si>
    <t>Mainly Medium to Coarse Grained Quartzofeldspathic and Lithic  Alluvial Sand</t>
  </si>
  <si>
    <t>Hewitt's Pit</t>
  </si>
  <si>
    <t>RQ114</t>
  </si>
  <si>
    <t>2024-091</t>
  </si>
  <si>
    <t>The bank of the Pioneer River, via Mia Mia Connection Road, QLD, Pinevale QLD 4754</t>
  </si>
  <si>
    <t>Mobile Crushing Co. Pty Ltd</t>
  </si>
  <si>
    <t>11B Harbour City Central
22/216 Harbour Road, Mackay Harbour QLD 4740</t>
  </si>
  <si>
    <t>Mainly Medium to Coarse Feldspathic Quartzose Alluvial Sand</t>
  </si>
  <si>
    <t>Hiles Pit (Woodlands Station)</t>
  </si>
  <si>
    <t>RQ398</t>
  </si>
  <si>
    <t>2022-052</t>
  </si>
  <si>
    <t>Lot 172 Woodlands Road, Barringha QLD 4816</t>
  </si>
  <si>
    <t>Townsville Mini Loads</t>
  </si>
  <si>
    <t>111 Tompkins Road, Shaw QLD 4818</t>
  </si>
  <si>
    <t>Fine to Medium Quartz Alluvial Sand</t>
  </si>
  <si>
    <t>Hodgleigh Quarry (South Burnett Quarries)</t>
  </si>
  <si>
    <t>RQ100</t>
  </si>
  <si>
    <t>2024-161</t>
  </si>
  <si>
    <t>22 Hodgleigh North Road, Hodgleigh QLD 4615</t>
  </si>
  <si>
    <t>South Burnett Quarries Pty Ltd</t>
  </si>
  <si>
    <t>22 Hodgleigh North Road, Hodgleigh QLD 4615.</t>
  </si>
  <si>
    <t>Hornfels and Quartzite</t>
  </si>
  <si>
    <t>Holcim Alligator Creek Sand Deposit</t>
  </si>
  <si>
    <t>RQ216</t>
  </si>
  <si>
    <t>2025-055</t>
  </si>
  <si>
    <t>Off Bruce Highway, Sarina QLD 4737 (Approximately 20km South of Mackay)</t>
  </si>
  <si>
    <t>Holcim (Australia) Pty Ltd</t>
  </si>
  <si>
    <t>18 Little Cribb Street, Milton QLD 4064</t>
  </si>
  <si>
    <t>Mainly Fine Grained Quartzofeldspathic and Lithic  Alluvial/Tidal Sand</t>
  </si>
  <si>
    <t>Holcim Beenleigh Quarry</t>
  </si>
  <si>
    <t>RQ147</t>
  </si>
  <si>
    <t>2025-126</t>
  </si>
  <si>
    <t>134 Peachy Road, Luscombe QLD 4207</t>
  </si>
  <si>
    <t>Metagreywacke and Metasiltstone</t>
  </si>
  <si>
    <t>Holcim Bli Bli Quarry</t>
  </si>
  <si>
    <t>RQ023</t>
  </si>
  <si>
    <t>2026-002</t>
  </si>
  <si>
    <t>110 Cooney Road, Bli Bli QLD 4560</t>
  </si>
  <si>
    <t>Hydrothermally Altered Latite</t>
  </si>
  <si>
    <t>Holcim Bohle Quarry</t>
  </si>
  <si>
    <t>RQ024</t>
  </si>
  <si>
    <t>2025-029</t>
  </si>
  <si>
    <t>Lot 42, Off Woolcock Street, Bruce Highway, Bohle QLD 4818</t>
  </si>
  <si>
    <t>Rhyodacitic Ash Tuff and Subordinate Altered Dykes/Sills with various lithological compositions</t>
  </si>
  <si>
    <t>Holcim Cleveland Sands</t>
  </si>
  <si>
    <t>RQ069</t>
  </si>
  <si>
    <t>2025-094</t>
  </si>
  <si>
    <t>Cape Cleveland Road, Cape Cleveland QLD 4810</t>
  </si>
  <si>
    <t>18 Little Cribb St, Milton QLD 4064</t>
  </si>
  <si>
    <t>Quartzofeldspathic and Lithic Fine Grained Aeolian Sand</t>
  </si>
  <si>
    <t>Holcim Lytton Sand Plant</t>
  </si>
  <si>
    <t>RQ152</t>
  </si>
  <si>
    <t>2025-018</t>
  </si>
  <si>
    <t xml:space="preserve"> 158 Anton Road, Hemmant QLD 4178</t>
  </si>
  <si>
    <t>Mainly Fine to Medium Quartzose Marine Sand</t>
  </si>
  <si>
    <t>Holcim Nerimbera Quarry</t>
  </si>
  <si>
    <t>RQ478</t>
  </si>
  <si>
    <t>2024-076</t>
  </si>
  <si>
    <t>Livingstone Shire Council</t>
  </si>
  <si>
    <t>4 Arnold Drive, Nerimbera QLD 4701</t>
  </si>
  <si>
    <t>Indurated Volcanoclastic Meta-arenite / Metasiltstone with minor Acid Feldspar Porphyry, Microdiorite and Andesite dykes.</t>
  </si>
  <si>
    <t>Holcim Petrie Quarry</t>
  </si>
  <si>
    <t>RQ207</t>
  </si>
  <si>
    <t>2024-004</t>
  </si>
  <si>
    <t>Corner of Dayboro Road &amp; Dunlop Lane, Kurwongbah QLD 4503</t>
  </si>
  <si>
    <t>Holcim Teven Quarry</t>
  </si>
  <si>
    <t>RQ443</t>
  </si>
  <si>
    <t>2024-159</t>
  </si>
  <si>
    <t>Ballina Shire Council</t>
  </si>
  <si>
    <t>129 Stokers Lane, Teven NSW 2478</t>
  </si>
  <si>
    <t>129 Stokers Lane, Ballina NSW 2478</t>
  </si>
  <si>
    <t>Meta-argillite with minor metagreywacke interbeds and andesitic dykes</t>
  </si>
  <si>
    <t>Huddy's Sand Deposit (Isaac River)</t>
  </si>
  <si>
    <t>RQ553</t>
  </si>
  <si>
    <t>2025-117</t>
  </si>
  <si>
    <t>Grosvenor Downs, Moranbah QLD 4744 (Via Moranbah Access Road)</t>
  </si>
  <si>
    <t>Medium to Coarse Grained Alluvial Quartz Sand</t>
  </si>
  <si>
    <t>Huston's Road Quarry</t>
  </si>
  <si>
    <t>RQ101</t>
  </si>
  <si>
    <t>2026-010</t>
  </si>
  <si>
    <t xml:space="preserve">Lot 290 Hustons Road, Pirrinuan QLD 4405 </t>
  </si>
  <si>
    <t>RSA Construction Materials Pty Ltd</t>
  </si>
  <si>
    <t>Level 18, 145 Ann Street, Brisbane QLD 4000</t>
  </si>
  <si>
    <t>Silica Oversaturated Glassy Basalt</t>
  </si>
  <si>
    <t>Hutchison Quarries (Leslie Dam Quarry)</t>
  </si>
  <si>
    <t>RQ060</t>
  </si>
  <si>
    <t>2025-076</t>
  </si>
  <si>
    <t xml:space="preserve">518 Pink Gum Lane, Leslie Dam QLD 4370 (Via Rabbit Road) </t>
  </si>
  <si>
    <t>Hutchison Quarries Pty Ltd</t>
  </si>
  <si>
    <t>518 Pink Gum Lane, Leslie Dam QLD 4370</t>
  </si>
  <si>
    <t>Hornfelsed Metasandstone &amp; Metasiltstone</t>
  </si>
  <si>
    <t>Adbri Manton Road Quarry</t>
  </si>
  <si>
    <t>RQ313</t>
  </si>
  <si>
    <t>2025-155</t>
  </si>
  <si>
    <t>Manton Road, Calcium QLD 4816</t>
  </si>
  <si>
    <t>HY-Tec Industries (QLD) Pty Ltd</t>
  </si>
  <si>
    <t>Partly Metamorphosed Limestone with subordinate Greenstone and Clusters of Igneous Sills and Dykes of Dacite, Microdiorite &amp; Andesite.</t>
  </si>
  <si>
    <t>Image Flat Quarry</t>
  </si>
  <si>
    <t>RQ057</t>
  </si>
  <si>
    <t>2025-045</t>
  </si>
  <si>
    <t>178 Image Flat Road, Image Flat QLD4560</t>
  </si>
  <si>
    <t>178 Image Flat Road, Image Flat Q4560</t>
  </si>
  <si>
    <t>2.5
3.5</t>
  </si>
  <si>
    <t>Rhyolite / Rhyolitic Tuff</t>
  </si>
  <si>
    <t>Inglewood Quarry</t>
  </si>
  <si>
    <t>RQ006</t>
  </si>
  <si>
    <t>2023-132</t>
  </si>
  <si>
    <t>23266 Cunningham Highway, Coolmunda QLD 4387</t>
  </si>
  <si>
    <t>35 Drive Inn Road Moree NSW 2400</t>
  </si>
  <si>
    <t>Silica Undersaturated Glassy Leucite Olivine Basalt (Leucitite)</t>
  </si>
  <si>
    <t>Inkerman Fine Sand Quarry</t>
  </si>
  <si>
    <t>RQ482</t>
  </si>
  <si>
    <t>2026-016</t>
  </si>
  <si>
    <t>226 Gladys Road, Grouper Creek, QLD 4806</t>
  </si>
  <si>
    <t>JGI Oxenford Recycling Site</t>
  </si>
  <si>
    <t>RQ533</t>
  </si>
  <si>
    <t>2024-113</t>
  </si>
  <si>
    <t>34 Maudsland Road, Oxenford QLD 4210</t>
  </si>
  <si>
    <t>JGI Quarry Pty Ltd</t>
  </si>
  <si>
    <t>2.3
2.5</t>
  </si>
  <si>
    <t>Jimbour Quarry (Western Downs Regional Council)</t>
  </si>
  <si>
    <t>RQ151</t>
  </si>
  <si>
    <t>2025-012</t>
  </si>
  <si>
    <t>666 Jimbour Station Road, Jimbour QLD 4406</t>
  </si>
  <si>
    <t>PO Box 551, Dalby QLD 4405</t>
  </si>
  <si>
    <t>Jondaryan Quarry</t>
  </si>
  <si>
    <t>RQ374</t>
  </si>
  <si>
    <t>2024-050</t>
  </si>
  <si>
    <t>Jondaryan-Muldu Road, Jondaryan QLD 4403</t>
  </si>
  <si>
    <t>Juandah Sand and Gravel Quarry</t>
  </si>
  <si>
    <t>RQ335</t>
  </si>
  <si>
    <t>2024-012</t>
  </si>
  <si>
    <t>208 Giligulgul Road, Woleebee QLD 4426</t>
  </si>
  <si>
    <t>Juandah Quarry Pty Ltd</t>
  </si>
  <si>
    <t>1 Stiller Street, Wandoan QLD 4419</t>
  </si>
  <si>
    <t>Fine to Mainly Medium Grained Quartzose and Lithic Alluvial Sand.</t>
  </si>
  <si>
    <t>Sand / Sedimentary and Duricrust</t>
  </si>
  <si>
    <t>Jubilee Quarry</t>
  </si>
  <si>
    <t>RQ034</t>
  </si>
  <si>
    <t>2024-021</t>
  </si>
  <si>
    <t>Clothilda Road, Off Gulf Development Road, Croydon QLD 4871</t>
  </si>
  <si>
    <t xml:space="preserve">Bolwarra Enterprises Pty Ltd </t>
  </si>
  <si>
    <t>458 Wongabel Road Wongabel QLD 4883</t>
  </si>
  <si>
    <t>B
C 
D</t>
  </si>
  <si>
    <t>2 
3</t>
  </si>
  <si>
    <t>Rhyolite</t>
  </si>
  <si>
    <t>Karreman Mount Cotton Quarry</t>
  </si>
  <si>
    <t>RQ035</t>
  </si>
  <si>
    <t>2025-051</t>
  </si>
  <si>
    <t>Redland City Council</t>
  </si>
  <si>
    <t>616-632 West Mount Cotton Road, Mt Cotton QLD 4165</t>
  </si>
  <si>
    <t>Metagreywacke and Minor Argillite</t>
  </si>
  <si>
    <t>Keatings Quarry</t>
  </si>
  <si>
    <t>RQ379</t>
  </si>
  <si>
    <t>2024-129</t>
  </si>
  <si>
    <t>90365 Bruce Highway Sarina QLD 4737</t>
  </si>
  <si>
    <t>Crush-It Pty Ltd</t>
  </si>
  <si>
    <t>33 Hans Christian Street Sarina QLD 4737</t>
  </si>
  <si>
    <t xml:space="preserve">Volcanolithic Tuffaceous Rhyolite and Microgranite </t>
  </si>
  <si>
    <t>Kianga Quarries</t>
  </si>
  <si>
    <t>RQ411</t>
  </si>
  <si>
    <t>2024-098</t>
  </si>
  <si>
    <t>Lot 80 Leichhardt Highway, Banana QLD 4702 (On Leichhardt Highway approximately 20.2km south of Banana)</t>
  </si>
  <si>
    <t>Kianga Quarries Pty Ltd</t>
  </si>
  <si>
    <t>Lot 80 Leichhardt Highway, Banana QLD 4702</t>
  </si>
  <si>
    <t>Silica Undersaturated Glassy Porphyritic Andesite</t>
  </si>
  <si>
    <t>Kildonan Quarry</t>
  </si>
  <si>
    <t>RQ173</t>
  </si>
  <si>
    <t>2023-137</t>
  </si>
  <si>
    <t>Lot 14, Kildonan Road, Kurumbul QLD 4388</t>
  </si>
  <si>
    <t>Gate 3, 580 Alderley Street, Toowoomba QLD 4350</t>
  </si>
  <si>
    <t>Quartzofeldspathic and Lithic Alluvial Sand and Gravel</t>
  </si>
  <si>
    <t>Kings (Barrie Lane) Quarry</t>
  </si>
  <si>
    <t>RQ264</t>
  </si>
  <si>
    <t xml:space="preserve">627 Barrie Lane, Homebush QLD 4740 </t>
  </si>
  <si>
    <t>Mobile Crushing Co Pty Ltd</t>
  </si>
  <si>
    <t>Unit B11 Harbour City Central 216, Harbour Road, Mackay QLD 4740</t>
  </si>
  <si>
    <t>Variably Metamorphosed Tuffaceous Volcanoclastic Arenite/Meta-sandstone, Hornfelsed Siltstone, Lithic Andesitic Welded Tuff /Rhyodacitic Tuff, Tonalite and Vein Rock Fragments.</t>
  </si>
  <si>
    <t>Kingscliff Sands</t>
  </si>
  <si>
    <t>RQ532</t>
  </si>
  <si>
    <t>2025-079</t>
  </si>
  <si>
    <t>Tweed Shire Council</t>
  </si>
  <si>
    <t>103 Altona Road Cudgen NSW 2487</t>
  </si>
  <si>
    <t>JBM Development Group Pty Ltd</t>
  </si>
  <si>
    <t>146 Tweed Coast Road, Chinderah NSW 2487</t>
  </si>
  <si>
    <t>Mainly Fine to Medium Grained Alluvial Quartzose Sand</t>
  </si>
  <si>
    <t>Kinka Beach Sand Pit</t>
  </si>
  <si>
    <t>RQ115</t>
  </si>
  <si>
    <t>2025-067</t>
  </si>
  <si>
    <t>230 Kinka Beach Road, Tanby QLD 4702</t>
  </si>
  <si>
    <t>Fine to Medium Grained Quartz Reworked Dunal Sand</t>
  </si>
  <si>
    <t>Kleicon Hardrock Quarry (Gin-Gin Quarries Pty Ltd)</t>
  </si>
  <si>
    <t>RQ586</t>
  </si>
  <si>
    <t>2025-124</t>
  </si>
  <si>
    <t>Lot 4 Clarkes Road Delan QLD 4671</t>
  </si>
  <si>
    <t>Gin Gin Quarries Pty Ltd</t>
  </si>
  <si>
    <t>15 Samuels Road, Branyan QLD 4670</t>
  </si>
  <si>
    <t>2.3
2.4
2.5
3
4
WQ35</t>
  </si>
  <si>
    <t>Partly Hornfelsed  Volcanoclastic Sandstone, Siltstone and Mudstone</t>
  </si>
  <si>
    <t>Koorrooeenah Quarry</t>
  </si>
  <si>
    <t>RQ203</t>
  </si>
  <si>
    <t>2025-080</t>
  </si>
  <si>
    <t>785 Tableland Road, (off Koorrooeenah Rd) Taunton QLD 4674</t>
  </si>
  <si>
    <t>Berajondo Pty Ltd ATF Sal Bonanno Family Trust trading as Berajondo Earthmoving and Haulage</t>
  </si>
  <si>
    <t>12-14 Hanbury Street Bundaberg North QLD 4670</t>
  </si>
  <si>
    <t>Hydrothermally Altered Silica Oversaturated Glassy Andesite Breccia / Porphyritic Andesite</t>
  </si>
  <si>
    <t>Kunwarara Quarry</t>
  </si>
  <si>
    <t>RQ530</t>
  </si>
  <si>
    <t>2025-102</t>
  </si>
  <si>
    <t>Kunwarara Road, Canoona QLD 4702 (4.4km south of the Stanage Bay Road of Bruce Highway or 1.4km north of the North Access Road to the Qmag Magnesia Mine)</t>
  </si>
  <si>
    <t>Hydrothermally Altered Amphibolite &amp; Quartzite</t>
  </si>
  <si>
    <t>Leichhardt River Quarry</t>
  </si>
  <si>
    <t>RQ238</t>
  </si>
  <si>
    <t>2023-173</t>
  </si>
  <si>
    <t>Coolullah Station, Kajabii, Off Burke Development Road, QLD 4824</t>
  </si>
  <si>
    <t>12 Mcilwraith St, Cloncurry QLD 4824</t>
  </si>
  <si>
    <t>Lesdale Quarry</t>
  </si>
  <si>
    <t>RQ276</t>
  </si>
  <si>
    <t>2025-073</t>
  </si>
  <si>
    <t>Murweh Shire Council</t>
  </si>
  <si>
    <t>"Lesdale" 69450 Warrego Highway, Sommariva QLD 4470 (via Charleville)</t>
  </si>
  <si>
    <t xml:space="preserve">Tickell Grazing Pty Ltd ATF the Tickell Family Trust </t>
  </si>
  <si>
    <t>Ferruginous and Silicified Sandstone</t>
  </si>
  <si>
    <t>Longford Creek (Eden Lassie) Quarry</t>
  </si>
  <si>
    <t>RQ064</t>
  </si>
  <si>
    <t>2024-053</t>
  </si>
  <si>
    <t>15864 Off Bruce Highway, Longford Creek, Bowen QLD 4805</t>
  </si>
  <si>
    <t>W Wall &amp; Sons</t>
  </si>
  <si>
    <t>Alluvial Gravel</t>
  </si>
  <si>
    <t>Longreach Sand Quarry</t>
  </si>
  <si>
    <t>RQ499</t>
  </si>
  <si>
    <t>2025-070</t>
  </si>
  <si>
    <t>Longreach Regional Council</t>
  </si>
  <si>
    <t>600 Cramsie-Muttaburra Road Longreach Qld 4730 (site access via a right hand turnoff, approximately 25km north of Longreach Town.)</t>
  </si>
  <si>
    <t>Champion Contracting Pty Ltd</t>
  </si>
  <si>
    <t>600 Cramsie Muttaburra Road, Longreach QLD 4730</t>
  </si>
  <si>
    <t>Medium to Coarse Grained Quartzose Alluvial Sand</t>
  </si>
  <si>
    <t>Luxor Quarry</t>
  </si>
  <si>
    <t>RQ412</t>
  </si>
  <si>
    <t>2025-097</t>
  </si>
  <si>
    <t>Near Saraji Coal Mine, Off 2251 Saraji Station Road (24km North of Dysart), Dysart QLD 4745</t>
  </si>
  <si>
    <t>Lytton Sand Plant (Hanson/Boral)</t>
  </si>
  <si>
    <t>RQ102</t>
  </si>
  <si>
    <t>2024-142</t>
  </si>
  <si>
    <t>141-142 Anton Road, Lytton QLD 4178</t>
  </si>
  <si>
    <t>Boral Resources (Qld) Pty Ltd / 
Hanson Construction Materials Pty Ltd</t>
  </si>
  <si>
    <t>Fine to Mainly Medium Grained Quartzose Marine Sand</t>
  </si>
  <si>
    <t>Mackay Harbour Board Reserve 483</t>
  </si>
  <si>
    <t>RQ103</t>
  </si>
  <si>
    <t>2025-104</t>
  </si>
  <si>
    <t xml:space="preserve">Off Edmund Casey Drive, Mackay Harbour QLD 4740  </t>
  </si>
  <si>
    <t>C &amp; J C Camilleri</t>
  </si>
  <si>
    <t>263 Connors Road Mackay QLD 4740</t>
  </si>
  <si>
    <t>Medium Grained Quartzofeldspathic and Lithic Dunal Sand</t>
  </si>
  <si>
    <t>Mailmans Quarry</t>
  </si>
  <si>
    <t>RQ310</t>
  </si>
  <si>
    <t>2025-081</t>
  </si>
  <si>
    <t>210 Mailmans Road via Monduran Road, Monduran QLD 4671</t>
  </si>
  <si>
    <t>Berajondo Earthmoving and Haulage Pty Ltd trading as Berajondo Earthmoving and Haulage</t>
  </si>
  <si>
    <t>Andesitic Tuff / Andesitic Agglomerate</t>
  </si>
  <si>
    <t>Maitland Road Quarry (Zappala Quarries)</t>
  </si>
  <si>
    <t>RQ391</t>
  </si>
  <si>
    <t>2024-162</t>
  </si>
  <si>
    <t>209-211 Maitland Road, Gordonvale QLD 4865</t>
  </si>
  <si>
    <t>Zappala Quarries Pty Ltd</t>
  </si>
  <si>
    <t>209-211, Maitland Road, Gordonvale QLD 4865</t>
  </si>
  <si>
    <t>Metagreywacke, Greenschist and Metasiltstone (See comments for details)</t>
  </si>
  <si>
    <t>Malchi Quarry</t>
  </si>
  <si>
    <t>RQ589</t>
  </si>
  <si>
    <t>2025-143</t>
  </si>
  <si>
    <t>Not applicable</t>
  </si>
  <si>
    <t>Lot 3 Nine Mile Road, Gracemere QLD 4702 (5km off Capricorn Highway)</t>
  </si>
  <si>
    <t>Galilee Crushing &amp; Civil Pty Ltd</t>
  </si>
  <si>
    <t>20 Racecourse Road Barmaryee QLD 4703</t>
  </si>
  <si>
    <t>Metagreywacke and metasiltstone</t>
  </si>
  <si>
    <t>Mal's Plant Hire Pty Ltd</t>
  </si>
  <si>
    <t>RQ176</t>
  </si>
  <si>
    <t>2025-043</t>
  </si>
  <si>
    <t>Red Hill Road, Moranbah  4744
(Extracted from the bed of The Isaac River, Moranbah QLD 4744)</t>
  </si>
  <si>
    <t>17 Archer Drive, Moranbah QLD 4744</t>
  </si>
  <si>
    <t>Mandarana Quarry</t>
  </si>
  <si>
    <t>RQ139</t>
  </si>
  <si>
    <t>2025-050</t>
  </si>
  <si>
    <t>296 Balnagowan Mandarana Road Farleigh QLD 4740</t>
  </si>
  <si>
    <t>Hornfelsed Volcanoclastic Siltstone, Mudstone, Subordinate Porphyritic Microdiorite/Granodiorite with minor Andesite Dykes</t>
  </si>
  <si>
    <t>Metamorphic / Intermediate Igneous</t>
  </si>
  <si>
    <t>Maranoa River Sands</t>
  </si>
  <si>
    <t>RQ462</t>
  </si>
  <si>
    <t>2025-062</t>
  </si>
  <si>
    <t>Lot 192, Mitchell Road, Mitchell QLD 4465</t>
  </si>
  <si>
    <t>174 Woodside Road, Roma QLD 4455</t>
  </si>
  <si>
    <t>Mainly Medium to Coarse Alluvial Quartz Sand</t>
  </si>
  <si>
    <t>Marino Kanimbla Quarry</t>
  </si>
  <si>
    <t>RQ458</t>
  </si>
  <si>
    <t>2025-066</t>
  </si>
  <si>
    <t>McFarlane Drive, Kanimbla QLD 4870 (Via Ramsey Drive, Kanimbla QLD 4870)</t>
  </si>
  <si>
    <t>Marino Quarry Pty Ltd</t>
  </si>
  <si>
    <t>5 Philp Close, Kanimbla QLD4870</t>
  </si>
  <si>
    <t xml:space="preserve"> Siliceous Phyllite and Metagreywacke with minor Quartzite and Meta-argillite</t>
  </si>
  <si>
    <t>Marlborough Quarry</t>
  </si>
  <si>
    <t>RQ425</t>
  </si>
  <si>
    <t>2025-085</t>
  </si>
  <si>
    <t>“Woodstock Station”, 1668 Marlborough Road, Marlborough QLD 4705</t>
  </si>
  <si>
    <t>RC Contracting (QLD) Pty Ltd</t>
  </si>
  <si>
    <t>159 Plentiful Creek Road, The Caves QLD 4072</t>
  </si>
  <si>
    <t>Marmor Quarry</t>
  </si>
  <si>
    <t>RQ140</t>
  </si>
  <si>
    <t>2024-044</t>
  </si>
  <si>
    <t>129 Bills Road, Marmor QLD 4702</t>
  </si>
  <si>
    <t>Capricorn Quarries Pty Ltd</t>
  </si>
  <si>
    <t>Meta-volcanoclastic Sandstone (Arenite)</t>
  </si>
  <si>
    <t>Maryborough Quarries (Antigua)</t>
  </si>
  <si>
    <t>RQ018</t>
  </si>
  <si>
    <t>2024-093</t>
  </si>
  <si>
    <t>6 Gilmers Road, Antigua QLD 4650</t>
  </si>
  <si>
    <t>Maryborough Quarries</t>
  </si>
  <si>
    <t>191 Drummond Street, Carlton VIC 3053</t>
  </si>
  <si>
    <t xml:space="preserve"> Porphyritic Dacite</t>
  </si>
  <si>
    <t>May Downs Quarry</t>
  </si>
  <si>
    <t>RQ547</t>
  </si>
  <si>
    <t>2024-006</t>
  </si>
  <si>
    <t>1548 May Downs Road, May Downs QLD 4746</t>
  </si>
  <si>
    <t xml:space="preserve"> CNN Resources Pty Ltd</t>
  </si>
  <si>
    <t xml:space="preserve">Hydrothermally Altered Trachyte &amp; Andesite with Minor Brecciated Latite. </t>
  </si>
  <si>
    <t>Mazeppa Quarry</t>
  </si>
  <si>
    <t>RQ260</t>
  </si>
  <si>
    <t>2024-026</t>
  </si>
  <si>
    <t xml:space="preserve">5998 Gregory Developmental Road, Frankfield QLD 4721 (Near Mazeppa Park) </t>
  </si>
  <si>
    <t>Vein Quartz</t>
  </si>
  <si>
    <t>McDonald Road Sand Lease (Goodshell) - Burdekin River</t>
  </si>
  <si>
    <t>RQ576</t>
  </si>
  <si>
    <t>2024-086</t>
  </si>
  <si>
    <t>Adjacent to 33 McDonald Road Jarvisified QLD 4807</t>
  </si>
  <si>
    <t>Goodshell Earthmoving  Pty Ltd</t>
  </si>
  <si>
    <t>721 Flinders Highway Brookhill QLD 4816</t>
  </si>
  <si>
    <t>Quartzofeldspathic and Lithic Medium to Mainly Coarse Alluvial sand</t>
  </si>
  <si>
    <t>McIlwraith Quarry (LCB Quarry)</t>
  </si>
  <si>
    <t>RQ572</t>
  </si>
  <si>
    <t>2025-021</t>
  </si>
  <si>
    <t>547 McIlwraith Road Gin Gin QLD 4671</t>
  </si>
  <si>
    <t>LCB Civil Pty Ltd</t>
  </si>
  <si>
    <t>2 Cross Street, Bundaberg East QLD 4670</t>
  </si>
  <si>
    <t>McKinlay Sand Quarry (Weir River)</t>
  </si>
  <si>
    <t>RQ457</t>
  </si>
  <si>
    <t>2025-024</t>
  </si>
  <si>
    <t>Lot 18 Cecil Plains Moonie Road, Dunmore QLD 4407</t>
  </si>
  <si>
    <t>McKinlays Western Creek Sand Pty Ltd</t>
  </si>
  <si>
    <t>97 Paint Mine Road Stoneleigh QLD 4356</t>
  </si>
  <si>
    <t>Fine to  Coarse Quartz Lithic Alluvial Sand</t>
  </si>
  <si>
    <t>McNulty's Road Pit (Bulmers)</t>
  </si>
  <si>
    <t>RQ247</t>
  </si>
  <si>
    <t>2024-095</t>
  </si>
  <si>
    <t>McNultys Road, Beebo QLD 4385</t>
  </si>
  <si>
    <t>L. Bulmer &amp; Co Pty Ltd</t>
  </si>
  <si>
    <t>12 Henderson Road Goondiwindi QLD 4390</t>
  </si>
  <si>
    <t>Silcrete / Ridge Gravel</t>
  </si>
  <si>
    <t>Mindie Alluvial Gravel Quarry</t>
  </si>
  <si>
    <t>RQ544</t>
  </si>
  <si>
    <t>2024-069</t>
  </si>
  <si>
    <t>The bed of Cloncurry River, Mindie Station, Zingarie Road, Cloncurry QLD 4824</t>
  </si>
  <si>
    <t>12 Mcilwraith Street, Cloncurry QLD 4824</t>
  </si>
  <si>
    <t>Mindie Hard Rock Quarry</t>
  </si>
  <si>
    <t>RQ414</t>
  </si>
  <si>
    <t>2024-060</t>
  </si>
  <si>
    <t>Mindie Station, Zingarie Road, Cloncurry QLD 4824</t>
  </si>
  <si>
    <t xml:space="preserve">Granite (Adamellite) with minor Hydrothermally Altered Skarn Intrusions </t>
  </si>
  <si>
    <t>Moonford Quarry</t>
  </si>
  <si>
    <t>RQ232</t>
  </si>
  <si>
    <t>2024-046</t>
  </si>
  <si>
    <t>1364 Youlambi Road, Monto QLD 4630</t>
  </si>
  <si>
    <t>Baldwins Sand Gravel &amp; Concrete Pty Ltd</t>
  </si>
  <si>
    <t>Moranbah South Quarry</t>
  </si>
  <si>
    <t>RQ154</t>
  </si>
  <si>
    <t>2025-013</t>
  </si>
  <si>
    <t>9566 Peak Downs Highway, Moranbah QLD 4744</t>
  </si>
  <si>
    <t>Lot 118, Munbura Road Balberra QLD 4740</t>
  </si>
  <si>
    <t>Morton's Quarry</t>
  </si>
  <si>
    <t>RQ463</t>
  </si>
  <si>
    <t>2025-120</t>
  </si>
  <si>
    <t>Woolley's Road, Lannercost QLD 4850</t>
  </si>
  <si>
    <t>Mortons Earthmoving Pty Ltd</t>
  </si>
  <si>
    <t>158 Mortons Road, Ingham QLD 4850</t>
  </si>
  <si>
    <t>Granite with minor andesite &amp; microdiorite dykes</t>
  </si>
  <si>
    <t>Mossman Quarry</t>
  </si>
  <si>
    <t>RQ252</t>
  </si>
  <si>
    <t>2025-127</t>
  </si>
  <si>
    <t>Mountain View Drive, Mossman QLD 4873</t>
  </si>
  <si>
    <t>Mossman Quarry Pty Ltd</t>
  </si>
  <si>
    <t>9 Main Street, Mt Molloy QLD 4871</t>
  </si>
  <si>
    <t xml:space="preserve">2
3
</t>
  </si>
  <si>
    <t>Mount Carbine Quarry</t>
  </si>
  <si>
    <t>RQ242</t>
  </si>
  <si>
    <t>2023-123</t>
  </si>
  <si>
    <t>6888 Mulligan Highway, Mt Carbine QLD 4871</t>
  </si>
  <si>
    <t>Owner - State Government of Queensland
Lessee - Mt Carbine Quarries Pty Ltd</t>
  </si>
  <si>
    <t>Pelitic Hornfels</t>
  </si>
  <si>
    <t>MRP Sand Quarry</t>
  </si>
  <si>
    <t>RQ534</t>
  </si>
  <si>
    <t>2024-112</t>
  </si>
  <si>
    <t>391 Hendon Victoria Hill Road, Talgai QLD 4362</t>
  </si>
  <si>
    <t>Chevron Sands Pty Ltd Trading as MRP Sand Quarry</t>
  </si>
  <si>
    <t>Fine to Coarse Quartzose Lithic Residual &amp; Colluvial Sand</t>
  </si>
  <si>
    <t xml:space="preserve">Mt Curio (Pinnacle) Quarry </t>
  </si>
  <si>
    <t>RQ236</t>
  </si>
  <si>
    <t>2024-027</t>
  </si>
  <si>
    <t>Gap Road, Springsure QLD 4722</t>
  </si>
  <si>
    <t>Mt Marrow Blue Metal Quarries</t>
  </si>
  <si>
    <t>RQ039</t>
  </si>
  <si>
    <t>2024-003</t>
  </si>
  <si>
    <t>237 Mt Marrow Quarry Road, Mt Marrow QLD 4306 (via Haigslea)</t>
  </si>
  <si>
    <t>Mt. Marrow Blue Metal Quarries Pty Ltd</t>
  </si>
  <si>
    <t>Mt. Amos Quarry</t>
  </si>
  <si>
    <t>RQ278</t>
  </si>
  <si>
    <t>2025-075</t>
  </si>
  <si>
    <t>Cook Shire Council</t>
  </si>
  <si>
    <t>41 Mt Amos Road, Cooktown QLD 4895</t>
  </si>
  <si>
    <t>Nambal Resources and Quarries Pty Ltd</t>
  </si>
  <si>
    <t>88 Charlotte Street, Cooktown QLD 4895</t>
  </si>
  <si>
    <t>Mt. Bassett Quarry</t>
  </si>
  <si>
    <t>RQ177</t>
  </si>
  <si>
    <t>2024-043</t>
  </si>
  <si>
    <t>22, Ron Searle Drive, Mackay QLD 4740</t>
  </si>
  <si>
    <t>CJD Investments (NQ) Pty Ltd</t>
  </si>
  <si>
    <t>9 Jardine Drive, Mackay QLD 4740</t>
  </si>
  <si>
    <t xml:space="preserve">
1
2
3</t>
  </si>
  <si>
    <t>Microdiorite and Andesite</t>
  </si>
  <si>
    <t>Mt. Beckford Quarry</t>
  </si>
  <si>
    <t>RQ205</t>
  </si>
  <si>
    <t>2025-007</t>
  </si>
  <si>
    <t xml:space="preserve">1042  Kennedy Development Road, Hughenden Qld 4821 </t>
  </si>
  <si>
    <t>Mt. Chelona Quarry (Parklands Blue Metal)</t>
  </si>
  <si>
    <t>RQ432</t>
  </si>
  <si>
    <t>2026-006</t>
  </si>
  <si>
    <t>125 Malins Road, Sarina QLD 4737</t>
  </si>
  <si>
    <t>Parklands Blue Metal Pty Ltd</t>
  </si>
  <si>
    <t>566 Maroochydore Service Road, Kunda Park QLD 4556</t>
  </si>
  <si>
    <t>Tonalite/Granite/Monzogranite with Minor Andesite and Microdiorite dykes</t>
  </si>
  <si>
    <t>Mt. Coot-tha Quarry</t>
  </si>
  <si>
    <t>RQ038</t>
  </si>
  <si>
    <t>2024-167</t>
  </si>
  <si>
    <t>200 Mt Coot-tha Road, Toowong QLD 4066</t>
  </si>
  <si>
    <t>Hornfelsed Phyllite</t>
  </si>
  <si>
    <t>Mt. Inkerman Quarry</t>
  </si>
  <si>
    <t>RQ431</t>
  </si>
  <si>
    <t>2024-063</t>
  </si>
  <si>
    <t>37 Mt Inkerman Road (via Home Hill), Inkerman QLD 4806</t>
  </si>
  <si>
    <t>L. D. and L. J. Hillery T/A Hillery Group</t>
  </si>
  <si>
    <t>167 Richmond Road, Bowen QLD 4805</t>
  </si>
  <si>
    <t>Granite (Adamellite)</t>
  </si>
  <si>
    <t>Mt. Kelly Red Binder Pit</t>
  </si>
  <si>
    <t>RQ503</t>
  </si>
  <si>
    <t>2025-160</t>
  </si>
  <si>
    <t>Warana Road, Mt. Kelly QLD 4807</t>
  </si>
  <si>
    <t>BQC Quarries Pty Ltd</t>
  </si>
  <si>
    <t>5-7 Airdmillan Road, Ayr QLD 4807</t>
  </si>
  <si>
    <t>Fine to Coarse Quartzofeldspathic and Lithic Residual Silty Clayey Sand</t>
  </si>
  <si>
    <t>Mt. Kelly White Binder Pit</t>
  </si>
  <si>
    <t>RQ504</t>
  </si>
  <si>
    <t>2025-161</t>
  </si>
  <si>
    <t>Warana Road,  Mt. Kelly QLD 4807</t>
  </si>
  <si>
    <t>Medium to Coarse Quartzofeldspathic and Lithic Residual Clayey Sand</t>
  </si>
  <si>
    <t>Mungabunda (CHRC) Quarry</t>
  </si>
  <si>
    <t>RQ454</t>
  </si>
  <si>
    <t>2025-019</t>
  </si>
  <si>
    <t>‘Cowandilla’ 1203 Mungabunda Road, Via Bauhinia QLD 4718</t>
  </si>
  <si>
    <t>65 Egerton Street, Emerald QLD 4720</t>
  </si>
  <si>
    <t>Narcotic Creek Sand Quarry</t>
  </si>
  <si>
    <t>RQ551</t>
  </si>
  <si>
    <t>2025-040</t>
  </si>
  <si>
    <t>303 Narcotic Creek Road Mareeba Qld 4880</t>
  </si>
  <si>
    <t>Fine to Coarse Grained Quartzose Alluvial Sand</t>
  </si>
  <si>
    <t>Nerang Quarry</t>
  </si>
  <si>
    <t>RQ074</t>
  </si>
  <si>
    <t>2025-132</t>
  </si>
  <si>
    <t>Hymix Road, Gaven QLD 4211</t>
  </si>
  <si>
    <t xml:space="preserve">10 The Boulevard, Brisbane Airport QLD 4008 </t>
  </si>
  <si>
    <t>Nevanna Stone Quarry Pty Ltd t/as Locker Valley Quarry</t>
  </si>
  <si>
    <t>RQ167</t>
  </si>
  <si>
    <t>2025-053</t>
  </si>
  <si>
    <t>93 McErlean Road, Helidon QLD 4344</t>
  </si>
  <si>
    <t>Nevanna Stone Quarry Pty Ltd t/as Lockyer Valley Quarry</t>
  </si>
  <si>
    <t>Fine to Coarse Grained Residual Quartz Sand Derived from Weathered Quartzose Sandstone</t>
  </si>
  <si>
    <t>Nine Mile Quarry</t>
  </si>
  <si>
    <t>RQ326</t>
  </si>
  <si>
    <t>2025-025</t>
  </si>
  <si>
    <t>Corner Forgarty road &amp; Nile Mile Road, Pink Lily QLD 4702</t>
  </si>
  <si>
    <t>10 the Boulevard, Brisbane Airport QLD 4008</t>
  </si>
  <si>
    <t>Fine to Medium Grained Quartzose and Lithic Alluvial Sand</t>
  </si>
  <si>
    <t>North Gregory Quarry</t>
  </si>
  <si>
    <t>RQ206</t>
  </si>
  <si>
    <t>2025-016</t>
  </si>
  <si>
    <t>Lot 78 &amp; Lot 313, Patullo Road, Gregory River QLD 4800</t>
  </si>
  <si>
    <t>L D &amp; L J Hillery Pty Ltd</t>
  </si>
  <si>
    <t>824 Shute Harbour Road, Mt Marlow QLD 4800</t>
  </si>
  <si>
    <t>North Wall Dunes</t>
  </si>
  <si>
    <t>RQ223</t>
  </si>
  <si>
    <t>2025-011</t>
  </si>
  <si>
    <t>Spiller Avenue via Edmond Casey Drive, Mackay Harbour  QLD 4740</t>
  </si>
  <si>
    <t>Mackay Sand &amp; Gravel Sales</t>
  </si>
  <si>
    <t>21 Mackay Slade Point Road, Outer Harbour Mackay QLD 4740</t>
  </si>
  <si>
    <t>Fine to Mainly Medium Grained Quartzofeldspathic and Lithic Dunal Sand</t>
  </si>
  <si>
    <t>Oxenford Quarry</t>
  </si>
  <si>
    <t>RQ040</t>
  </si>
  <si>
    <t>2024-166</t>
  </si>
  <si>
    <t>33 Maudsland Road, Upper Coomera QLD 4210</t>
  </si>
  <si>
    <t>19 Hart Street, Upper Coomera QLD 4209</t>
  </si>
  <si>
    <t>Metagreywacke and Minor Meta-argillite</t>
  </si>
  <si>
    <t>Paverock Quarry</t>
  </si>
  <si>
    <t>RQ041</t>
  </si>
  <si>
    <t>2025-144</t>
  </si>
  <si>
    <t>1485 Goodwood Road, Redridge QLD 4660</t>
  </si>
  <si>
    <t>Paveways Pty Ltd T/A Paverock Quarry</t>
  </si>
  <si>
    <t>Schaffers Road Quarry</t>
  </si>
  <si>
    <t>RQ548</t>
  </si>
  <si>
    <t>2025-152</t>
  </si>
  <si>
    <t>47 Schaffers Road, Apple Tree Creek QLD 4660</t>
  </si>
  <si>
    <t>Mckey Earthmoving Pty Ltd</t>
  </si>
  <si>
    <t>47 Schaffers road Apple Tree Creek QLD 4660</t>
  </si>
  <si>
    <t>Residual Silty Sand derived from Decomposed Granite</t>
  </si>
  <si>
    <t>Peak Hill Quarry</t>
  </si>
  <si>
    <t>RQ122</t>
  </si>
  <si>
    <t>2025-077</t>
  </si>
  <si>
    <t>184 Rockhampton-Yeppoon Road, North Rockhampton QLD 4701</t>
  </si>
  <si>
    <t xml:space="preserve">Vynque Pty Ltd </t>
  </si>
  <si>
    <t>61 Gravel Pit Road, Yeppoon QLD 4703</t>
  </si>
  <si>
    <t>Diorite Porphyry and Rhyodacitic Tuff</t>
  </si>
  <si>
    <t>Peppercorn Quarry</t>
  </si>
  <si>
    <t>RQ460</t>
  </si>
  <si>
    <t>2025-125</t>
  </si>
  <si>
    <t>28477 Moonie Highway, St. George QLD4487</t>
  </si>
  <si>
    <t>Graham Jackson Wippell and Helen Gayle Wippell</t>
  </si>
  <si>
    <t>Indurated and Variably Ferruginised &amp; Silicified Siltstone and Sandstone</t>
  </si>
  <si>
    <t>Pinevale Sand Pit</t>
  </si>
  <si>
    <t>RQ158</t>
  </si>
  <si>
    <t>2025-105</t>
  </si>
  <si>
    <t>Access via Pinevale Road, Pinevale QLD 4745</t>
  </si>
  <si>
    <t>Mainly Medium to Coarse Quartzofeldspathic and Lithic Alluvial Sand</t>
  </si>
  <si>
    <t>Pink Lily Sands</t>
  </si>
  <si>
    <t>RQ123</t>
  </si>
  <si>
    <t>2025-026</t>
  </si>
  <si>
    <t>205 Pink Lily Road, Pink Lily QLD 4702</t>
  </si>
  <si>
    <t>Mainly Medium to Coarse Quartzose and Lithic Alluvial Sand</t>
  </si>
  <si>
    <t xml:space="preserve"> Sand</t>
  </si>
  <si>
    <t>Pinnacles Quarry (Townsville)</t>
  </si>
  <si>
    <t>RQ090</t>
  </si>
  <si>
    <t>2025-088</t>
  </si>
  <si>
    <t>Moncrieff Road, Gumlow QLD 4817 (or Gumlow Road, Gumlow QLD 4817)</t>
  </si>
  <si>
    <t>Gumlow Road, Gumlow QLD 4817.</t>
  </si>
  <si>
    <t>.</t>
  </si>
  <si>
    <t>Microgranite and Dacite with minor Rhyolitic-Lithic Tuff intrusions and Andesite/ Microdiorite/Diorite Dykes (Please Refer to Comments 1, 2 and 3 below).</t>
  </si>
  <si>
    <t>Acid Igneous / Intermediate Igneous</t>
  </si>
  <si>
    <t>Plum Tree Quarry (Gromac Quarries)</t>
  </si>
  <si>
    <t>RQ042</t>
  </si>
  <si>
    <t>2025-032</t>
  </si>
  <si>
    <t>Charters Towers Regional Council</t>
  </si>
  <si>
    <t>11343 Flinders Highway, Charters Towers QLD 4820</t>
  </si>
  <si>
    <t>Microgranite, Granodiorite, Granite with minor Rhyolite/Rhyodacite, Andesite and Diorite Dykes</t>
  </si>
  <si>
    <t>PNQ Barron Sands</t>
  </si>
  <si>
    <t>RQ020</t>
  </si>
  <si>
    <t>2024-145</t>
  </si>
  <si>
    <t>Stewarts Road, Caravonica QLD 4870</t>
  </si>
  <si>
    <t>Pioneer North Queensland Pty Ltd</t>
  </si>
  <si>
    <t>Lot 5 Maconachie Street, Woree QLD 4870</t>
  </si>
  <si>
    <t>Quartzofeldspathic and Lithic Alluvial Sand</t>
  </si>
  <si>
    <t>PNQ Dimbulah Sands</t>
  </si>
  <si>
    <t>RQ574</t>
  </si>
  <si>
    <t>2024-031</t>
  </si>
  <si>
    <t>Leafgold Wier Road, Dimbulah QLD 4872</t>
  </si>
  <si>
    <t>Fine to Mainly Medium Grained Quartz Sand</t>
  </si>
  <si>
    <t>PNQ Edmonton Quarry</t>
  </si>
  <si>
    <t>RQ029</t>
  </si>
  <si>
    <t>2024-102</t>
  </si>
  <si>
    <t>Hussey Road, Edmonton QLD 4869</t>
  </si>
  <si>
    <t>Metagreywacke and Carbonaceous Meta-Siltstone</t>
  </si>
  <si>
    <t>PNQ Innisfail Quarry</t>
  </si>
  <si>
    <t>RQ043</t>
  </si>
  <si>
    <t>2024-139</t>
  </si>
  <si>
    <t>6 Coorumba Road, Off Palmerston Highway, Innisfail QLD 4860</t>
  </si>
  <si>
    <t>QCrush Horse Creek Quarry</t>
  </si>
  <si>
    <t>RQ227</t>
  </si>
  <si>
    <t>2025-122</t>
  </si>
  <si>
    <t>Gregory Downs - Camooweal Road,  Gregory QLD 4830 (Approximately 19.7 km south of Gregory Township)</t>
  </si>
  <si>
    <t>Ferricrete</t>
  </si>
  <si>
    <t>Quarry at Midgee</t>
  </si>
  <si>
    <t>RQ124</t>
  </si>
  <si>
    <t>2024-073</t>
  </si>
  <si>
    <t>5943 Bruce Highway, Midgee QLD 4702</t>
  </si>
  <si>
    <t>Hopkins Brothers Pty Ltd</t>
  </si>
  <si>
    <t>380 Alexandra Street, North Rockhampton QLD 4701</t>
  </si>
  <si>
    <t xml:space="preserve">Hornfelsed and Indurated Volcanoclastic Siltstone and Arenite </t>
  </si>
  <si>
    <t>Quarrybrook Quarry</t>
  </si>
  <si>
    <t>RQ086</t>
  </si>
  <si>
    <t>2025-031</t>
  </si>
  <si>
    <t>125 Quarry Road, Cordelia QLD 4850 (Off Cook's Lane)</t>
  </si>
  <si>
    <t>Jaycat Earthmoving Pty Ltd</t>
  </si>
  <si>
    <t>Quarry Road Cordelia, QLD 4850</t>
  </si>
  <si>
    <t>Acid/Rhyolite Porphyry</t>
  </si>
  <si>
    <t>R. Watt Road Site</t>
  </si>
  <si>
    <t>RQ127</t>
  </si>
  <si>
    <t>2024-090</t>
  </si>
  <si>
    <t>The bank of the Cattle Creek, 174 Watts Road, Benholme QLD 4754</t>
  </si>
  <si>
    <t>Medium to Coarse Feldspathic Quartzose and Lithic Alluvial Sand</t>
  </si>
  <si>
    <t>Ravensbourne Sand Quarry</t>
  </si>
  <si>
    <t>RQ061</t>
  </si>
  <si>
    <t>2025-129</t>
  </si>
  <si>
    <t>124 Philp Road, Ravensbourne QLD 4352</t>
  </si>
  <si>
    <t>Fine to Coarse Quartz Sand possibly from a Pyroclastic Origin</t>
  </si>
  <si>
    <t>Red Rock Quarry</t>
  </si>
  <si>
    <t>RQ208</t>
  </si>
  <si>
    <t>2025-123</t>
  </si>
  <si>
    <t>2403 Blackwater Rolleston Road, Comet QLD 4702</t>
  </si>
  <si>
    <t>A B
C
D</t>
  </si>
  <si>
    <t xml:space="preserve">
2
3</t>
  </si>
  <si>
    <t>Regional Quarries Australia – Gladstone Quarry</t>
  </si>
  <si>
    <t>RQ184</t>
  </si>
  <si>
    <t>2024-110</t>
  </si>
  <si>
    <t>94 Quarry Road, Yarwun QLD 4694</t>
  </si>
  <si>
    <t>Hornfelsed Volcanoclastic Siltstone/Sandstone/Limestone and minor Metadolerite /Meta-andesite/Microdiorite</t>
  </si>
  <si>
    <t>Rino Pinkenba Recycling Site</t>
  </si>
  <si>
    <t>RQ562</t>
  </si>
  <si>
    <t>2025-042</t>
  </si>
  <si>
    <t>45 Eagle Farm Road, Pinkenba QLD 4008</t>
  </si>
  <si>
    <t>Pinkenba Operations Pty Ltd</t>
  </si>
  <si>
    <t>Robin Mine Quarry</t>
  </si>
  <si>
    <t>RQ142</t>
  </si>
  <si>
    <t>2024-024</t>
  </si>
  <si>
    <t>Rosebud Station, Barkly Highway Argylla QLD 4825</t>
  </si>
  <si>
    <t>Feldspathic Quartzite</t>
  </si>
  <si>
    <t>Rockhampton Sands</t>
  </si>
  <si>
    <t>RQ510</t>
  </si>
  <si>
    <t>2024-070</t>
  </si>
  <si>
    <t>250 Fogarty Road, Fairy Bower QLD 4702</t>
  </si>
  <si>
    <t>Nine Mile Sands Pty Ltd T/A Rockhampton Sands</t>
  </si>
  <si>
    <t>250 Fogarty Road, Fairy Bower QLD 4700</t>
  </si>
  <si>
    <t>Fine to Coarse Grained Lithic and Quartzose Alluvial Sand</t>
  </si>
  <si>
    <t>Rockville Pit</t>
  </si>
  <si>
    <t>RQ523</t>
  </si>
  <si>
    <t>2025-017</t>
  </si>
  <si>
    <t>Balonne Highway, Bollon QLD 4488 (24km west of Bollon)</t>
  </si>
  <si>
    <t>11574 Carnarvon Hwy St George Qld 4487</t>
  </si>
  <si>
    <t>2.5
3.3
3.4
3.5
Type 4 WQ35</t>
  </si>
  <si>
    <t>Indurated and Variably Ferruginised &amp; Silicified Sandstone / Sandstone &amp; Siltstone</t>
  </si>
  <si>
    <t>Rockwell Quarry</t>
  </si>
  <si>
    <t>RQ209</t>
  </si>
  <si>
    <t>2024-065</t>
  </si>
  <si>
    <t>156 Skew Gully Road, Buaraba QLD 4311</t>
  </si>
  <si>
    <t>Rockwell Concrete and Quarries</t>
  </si>
  <si>
    <t>Fine to Coarse Quartzose Lithic Residual Sand</t>
  </si>
  <si>
    <t>Roma Quarry (Maranoa Regional Council)</t>
  </si>
  <si>
    <t>RQ143</t>
  </si>
  <si>
    <t>2024-135</t>
  </si>
  <si>
    <t>3401 Carnarvon Highway, Eumamurrin QLD 4455</t>
  </si>
  <si>
    <t xml:space="preserve"> Maranoa Regional Council</t>
  </si>
  <si>
    <t>57 Bungil Street Roma QLD 4455</t>
  </si>
  <si>
    <t>2.3
2.4
3</t>
  </si>
  <si>
    <t>Routh Quarry</t>
  </si>
  <si>
    <t>RQ266</t>
  </si>
  <si>
    <t>2025-110</t>
  </si>
  <si>
    <t>Etheridge Shire Council</t>
  </si>
  <si>
    <t>Routh Creek Station, Lot 5277 Gulf Development Road, Georgetown QLD 4871</t>
  </si>
  <si>
    <t>Bolwarra Enterprises Pty Ltd</t>
  </si>
  <si>
    <t>422, Wongabel Road, Wongabel QLD 4883</t>
  </si>
  <si>
    <t xml:space="preserve"> Rhyodacite</t>
  </si>
  <si>
    <t>Salmon's Quarry</t>
  </si>
  <si>
    <t>RQ400</t>
  </si>
  <si>
    <t>2024-158</t>
  </si>
  <si>
    <t>"Poinsetta", Quarry Road, Off Rubyvale - Sapphire Road, Rubyvale QLD 4702</t>
  </si>
  <si>
    <t>Gavin Salmon – Salmon’s Quarry and Mining Pty Ltd</t>
  </si>
  <si>
    <t>Dave's Road, Sapphire QLD 4702</t>
  </si>
  <si>
    <t>Fine to Coarse Quartz Sand</t>
  </si>
  <si>
    <t>Sandstone Australia Quarries (Comerford &amp; Gosford Pits)</t>
  </si>
  <si>
    <t>RQ585</t>
  </si>
  <si>
    <t>2024-133</t>
  </si>
  <si>
    <t>521 Airforce Road, Helidon QLD 4344</t>
  </si>
  <si>
    <t>Bexton Investments Pty Ltd T/A Paradise Bushrocks</t>
  </si>
  <si>
    <t>2.5
3.5 
4
WQ35</t>
  </si>
  <si>
    <t>Weathered Quartzose Sandstone</t>
  </si>
  <si>
    <t>Schneider Sand and Stone</t>
  </si>
  <si>
    <t>RQ502</t>
  </si>
  <si>
    <t>2024-036</t>
  </si>
  <si>
    <t>333 Flood Road Yaamba QLD 4704</t>
  </si>
  <si>
    <t>Scott Schneider</t>
  </si>
  <si>
    <t>Alluvial Sand</t>
  </si>
  <si>
    <t>Scriha Sand Site</t>
  </si>
  <si>
    <t>RQ581</t>
  </si>
  <si>
    <t>2025-078</t>
  </si>
  <si>
    <t>3084 Mackay-Eungella Road Benholme QLD 4754</t>
  </si>
  <si>
    <t>Unit 11B Harbour City Central, 216 Harbour Road, Mackay Harbour QLD 4740</t>
  </si>
  <si>
    <t>Mainly Medium to Coarse Grained Quartzofeldspathic and Lithic Alluvial Sand</t>
  </si>
  <si>
    <t>Sellheim Sand Plant</t>
  </si>
  <si>
    <t>RQ360</t>
  </si>
  <si>
    <t>2024-138</t>
  </si>
  <si>
    <t>Corner of Flinders Highway &amp; Archers Road, Sellheim QLD 4820</t>
  </si>
  <si>
    <t>Bulk Sand and Natural Aggregates (BSNA)</t>
  </si>
  <si>
    <t>Shady Lagoon Quarry</t>
  </si>
  <si>
    <t>RQ304</t>
  </si>
  <si>
    <t>2024-008</t>
  </si>
  <si>
    <t>Carpentaria Shire Council</t>
  </si>
  <si>
    <t xml:space="preserve">Access via an unsealed road via Gulf Development Road, Normanton, QLD 4890 </t>
  </si>
  <si>
    <t>2.5
3.3
3.4
3.5
4
WQ35</t>
  </si>
  <si>
    <t>Indurated Ferruginous Silcrete</t>
  </si>
  <si>
    <t>Shamrock Quarry (Tully)</t>
  </si>
  <si>
    <t>RQ087</t>
  </si>
  <si>
    <t>2025-087</t>
  </si>
  <si>
    <t>19 Lloyd Bell Road, off Tully-Beach Rd (via South Mission Beach Road), Merryburn QLD 4854</t>
  </si>
  <si>
    <t>Shamrock Quarry</t>
  </si>
  <si>
    <t>Lloyd Bell Road (via South Mission Beach Road)
Merryburn, Tully QLD 4854</t>
  </si>
  <si>
    <t>Granite [Adamellite/Monzogranite]</t>
  </si>
  <si>
    <t>Sheppersons (Cordwell's) Quarry</t>
  </si>
  <si>
    <t>RQ368</t>
  </si>
  <si>
    <t>2024-023</t>
  </si>
  <si>
    <t>Noosa Shire Council</t>
  </si>
  <si>
    <t>Sheppersons Lane, Kin Kin QLD 4571 (Off Kin-Kin Pomona Road, Pomona QLD 4568)</t>
  </si>
  <si>
    <t>11 Cordwell Road, Yandina QLD 4561</t>
  </si>
  <si>
    <t>Altered Latite &amp; Latite Breccia</t>
  </si>
  <si>
    <t>Shepton Quarry</t>
  </si>
  <si>
    <t>RQ125</t>
  </si>
  <si>
    <t>2024-111</t>
  </si>
  <si>
    <t>3/1143 Montrose Road, Capella QLD 4723</t>
  </si>
  <si>
    <t>11 Ballera Court, 1511 Toowoomba Cecil Plains Road, Wellcamp QLD 4350.</t>
  </si>
  <si>
    <t>Silica Road Pit</t>
  </si>
  <si>
    <t>RQ377</t>
  </si>
  <si>
    <t>2025-098</t>
  </si>
  <si>
    <t>Silica Road, via Bruce Highway, Benaraby QLD 4680</t>
  </si>
  <si>
    <t>Medium to Mainly Coarse Lithic and Quartzofeldspathic Residual Sand of Granitoid Origin</t>
  </si>
  <si>
    <t>Singh Pit Quarry</t>
  </si>
  <si>
    <t>RQ543</t>
  </si>
  <si>
    <t>2025-009</t>
  </si>
  <si>
    <t>361 Stephenson Road, McCutcheon QLD 4856</t>
  </si>
  <si>
    <t>Fine Grained Quartzose Natural Dunal Sand</t>
  </si>
  <si>
    <t>Skyville Quarry</t>
  </si>
  <si>
    <t>RQ488</t>
  </si>
  <si>
    <t>2025-010</t>
  </si>
  <si>
    <t>7905 Peak Downs Highway, Moranbah QLD 4744</t>
  </si>
  <si>
    <t>Smithburne River Sand Quarry</t>
  </si>
  <si>
    <t>RQ560</t>
  </si>
  <si>
    <t>2025-064</t>
  </si>
  <si>
    <t>Lot 221, Lotusvale Station, Lotus Vale - Stirling Road, Howitt QLD 4890</t>
  </si>
  <si>
    <t>127 Yappar Street, Karumba QLD 4891</t>
  </si>
  <si>
    <t>Mainly Medium to Coarse Quartzofeldspathic Alluvial Sand</t>
  </si>
  <si>
    <t>Sole Resources - Mt. Garnet Alluvial Quarry</t>
  </si>
  <si>
    <t>RQ393</t>
  </si>
  <si>
    <t>2025-096</t>
  </si>
  <si>
    <t>324 Nymbool Road, Mt Garnet QLD 4872</t>
  </si>
  <si>
    <t>Sole Resources (Mt. Garnet) Pty Ltd</t>
  </si>
  <si>
    <t>214 Crossland Road Gordonvale QLD 4865</t>
  </si>
  <si>
    <t xml:space="preserve">Metasandstone &amp; Intermediate Tuff </t>
  </si>
  <si>
    <t>Metamorphic &amp; Intermediate Igneous</t>
  </si>
  <si>
    <t>Sole Resources - Mt. Garnet Hardrock Quarry</t>
  </si>
  <si>
    <t>RQ300</t>
  </si>
  <si>
    <t>2025-121</t>
  </si>
  <si>
    <t>Andesite / Andesitic Tuff</t>
  </si>
  <si>
    <t>Southern Pacific Sands</t>
  </si>
  <si>
    <t>RQ089</t>
  </si>
  <si>
    <t>2025-065</t>
  </si>
  <si>
    <t>565 Bestmann Road, Ningi QLD 4511</t>
  </si>
  <si>
    <t>Pacific Silica Pty Ltd t/a Southern Pacific Sands</t>
  </si>
  <si>
    <t>Fine to Mainly Medium Quartz Sand</t>
  </si>
  <si>
    <t>Stanthorpe Sands</t>
  </si>
  <si>
    <t>RQ179</t>
  </si>
  <si>
    <t>2024-089</t>
  </si>
  <si>
    <t>Access via Dalcouth and Sugarloaf Roads, Dalcouth QLD 4380</t>
  </si>
  <si>
    <t>Twin Towns Sand and Gravel Pty Ltd T/As Stanthorpe Sands</t>
  </si>
  <si>
    <t>25 Riverdell Drive, South Tweed Heads NSW 2486</t>
  </si>
  <si>
    <t>Medium to Coarse Quartzofeldspathic and Lithic Sand</t>
  </si>
  <si>
    <t>Stanwell Quarry</t>
  </si>
  <si>
    <t>RQ160</t>
  </si>
  <si>
    <t>2026-001</t>
  </si>
  <si>
    <t>Access from Capricorn Highway, via Power Plant Road, Stanwell QLD 4702.</t>
  </si>
  <si>
    <t>20L Sheraton Rd Dubbo NSW 2830</t>
  </si>
  <si>
    <t>Quartz Microdiorite / Quartz Diorite</t>
  </si>
  <si>
    <t>Stokes Range Quarry</t>
  </si>
  <si>
    <t>RQ076</t>
  </si>
  <si>
    <t>2024-124</t>
  </si>
  <si>
    <t>Rifle Range Road, Kirknie QLD 4806</t>
  </si>
  <si>
    <t>143 Young Street, Ayr QLD 4807</t>
  </si>
  <si>
    <t>Microdiorite and Andesitic Porphyry with minor Rhyolite and Andesite Dykes</t>
  </si>
  <si>
    <t>Stonehenge Quarry</t>
  </si>
  <si>
    <t>RQ453</t>
  </si>
  <si>
    <t>2024-030</t>
  </si>
  <si>
    <t>Barcoo Shire Council</t>
  </si>
  <si>
    <t>"Hillview Park", Thomson Developmental Road, Stonehenge QLD 4730</t>
  </si>
  <si>
    <t>Sunrock (Holcim) Quarry</t>
  </si>
  <si>
    <t>RQ015</t>
  </si>
  <si>
    <t>2026-004</t>
  </si>
  <si>
    <t>Nursery Road, Beerburrum QLD 4518</t>
  </si>
  <si>
    <t>Level 2, 339 Coronation Drive, Milton Qld 4064</t>
  </si>
  <si>
    <t>Sunstate Sands Bundaberg</t>
  </si>
  <si>
    <t>RQ246</t>
  </si>
  <si>
    <t>2025-106</t>
  </si>
  <si>
    <t>Palm Beach Road, Coonarr QLD 4670</t>
  </si>
  <si>
    <t>Mainly Fine to Medium Quartz Dunal Sand</t>
  </si>
  <si>
    <t>Takura Quarry (Byrne Bros Quarries Pty Ltd)</t>
  </si>
  <si>
    <t>RQ144</t>
  </si>
  <si>
    <t>2025-041</t>
  </si>
  <si>
    <t>Cork Road, Off Hornes Road, Takura QLD 4650</t>
  </si>
  <si>
    <t>Byrne Bros Quarries Pty Ltd</t>
  </si>
  <si>
    <t>69 Ferry Street, Maryborough QLD 4650</t>
  </si>
  <si>
    <t>2.3
2.4
2.5
3</t>
  </si>
  <si>
    <t>Tatti Sand</t>
  </si>
  <si>
    <t>RQ161</t>
  </si>
  <si>
    <t>897-994 Chewko Rd, Chewko Qld 4880</t>
  </si>
  <si>
    <t>Senport Pty Ltd</t>
  </si>
  <si>
    <t>995 Chewko Rd, Chewko Qld 4880</t>
  </si>
  <si>
    <t>The Caves Quarry QLD</t>
  </si>
  <si>
    <t>RQ109</t>
  </si>
  <si>
    <t>2025-114</t>
  </si>
  <si>
    <t>Livingstone Regional Council</t>
  </si>
  <si>
    <t>Mt Charlton Road, The Caves QLD 4702</t>
  </si>
  <si>
    <t>Hornfelsed Volcanoclastic Metasiltstone</t>
  </si>
  <si>
    <t>The Rocks (BQC) Quarry</t>
  </si>
  <si>
    <t>RQ046</t>
  </si>
  <si>
    <t>2025-133</t>
  </si>
  <si>
    <t>1464 Ayr Dalbeg Road, Ayr QLD 4807 (via Mona Park)</t>
  </si>
  <si>
    <t>Granite (Adamellite) and Microgranite</t>
  </si>
  <si>
    <t>Theodore (Shoecraft) Quarry</t>
  </si>
  <si>
    <t>RQ594</t>
  </si>
  <si>
    <t>2025-136</t>
  </si>
  <si>
    <t>514 Defence Road, Castle Creek QLD 4718</t>
  </si>
  <si>
    <t>Shoecraft Plant Hire Pty Ltd</t>
  </si>
  <si>
    <t>25 Colombo Road, Lonesome Creek QLD 4719</t>
  </si>
  <si>
    <t>Thirsty Creek Quarry</t>
  </si>
  <si>
    <t>RQ591</t>
  </si>
  <si>
    <t>2026-005</t>
  </si>
  <si>
    <t>802 Thirsty Creek Road, Gogango QLD 4702</t>
  </si>
  <si>
    <t>532 Artillery Road, Sandringham QLD 4701</t>
  </si>
  <si>
    <t>Heavily altered amygdaloidal basalt, brecciated basalt and dolerite</t>
  </si>
  <si>
    <t>Tinaroo Creek Quarry</t>
  </si>
  <si>
    <t>RQ511</t>
  </si>
  <si>
    <t>2025-149</t>
  </si>
  <si>
    <t>936 Tinaroo Creek Road, Mareeba QLD 4880</t>
  </si>
  <si>
    <t>Granite</t>
  </si>
  <si>
    <t>Top Rock Quarry</t>
  </si>
  <si>
    <t>RQ323</t>
  </si>
  <si>
    <t>2025-112</t>
  </si>
  <si>
    <t>Lot 46 Kennedy Highway Kuranda QLD 4881</t>
  </si>
  <si>
    <t>FGF Developments Pty Ltd</t>
  </si>
  <si>
    <t>Unit 5/2 James St North Cairns QLD 4870</t>
  </si>
  <si>
    <t>Metagreywacke with minor hornfelsed carbonaceous metasiltstone / metamudstone (argillite) and metadolerite dykes.</t>
  </si>
  <si>
    <t>Townsville Graded Sands – Kelso Plant</t>
  </si>
  <si>
    <t>RQ317</t>
  </si>
  <si>
    <t>2024-092</t>
  </si>
  <si>
    <t>Lot 1, Upper Ross River Road Kelso QLD 4815</t>
  </si>
  <si>
    <t>Townsville Graded Sands Pty Ltd</t>
  </si>
  <si>
    <t>Fine to Medium Grained Feldspathic Quartzose &amp; Lithic Alluvial Sand</t>
  </si>
  <si>
    <t>Townsville Graded Sands - Macrossan Sand Plant</t>
  </si>
  <si>
    <t>RQ564</t>
  </si>
  <si>
    <t>2024-033</t>
  </si>
  <si>
    <t>Flinders Highway Breddan QLD 4820</t>
  </si>
  <si>
    <t>26-28 Crocodile Crescent Bohle QLD 4818</t>
  </si>
  <si>
    <t>Medium to Coarse Quartzose Feldspathic Lithic Alluvial Sand</t>
  </si>
  <si>
    <t>Traveston (Corbet) Quarry</t>
  </si>
  <si>
    <t>RQ459</t>
  </si>
  <si>
    <t>2024-049</t>
  </si>
  <si>
    <t>1944, Corner of Mary Valley Link Road and the Old Bruce Highway, Traveston QLD 4570</t>
  </si>
  <si>
    <t xml:space="preserve">3 Corbet Road, Gympie QLD 4570 </t>
  </si>
  <si>
    <t>2.3
2.4
2.5
3
4</t>
  </si>
  <si>
    <t>Brecciated and Altered Metabasalt (Greenstone) and Chert/Jasper with minor andesite/dacite dykes.</t>
  </si>
  <si>
    <t>Tweed Sands Deposit</t>
  </si>
  <si>
    <t>RQ099</t>
  </si>
  <si>
    <t>2025-008</t>
  </si>
  <si>
    <t>Altona Road, Cudgen NSW 2487</t>
  </si>
  <si>
    <t>Mainly Fine to medium grained reworked dunal quartz sand</t>
  </si>
  <si>
    <t>Umina Quarry</t>
  </si>
  <si>
    <t>RQ213</t>
  </si>
  <si>
    <t>2024-103</t>
  </si>
  <si>
    <t>7430 Bowen Developmental Road, Collinsville QLD 4804</t>
  </si>
  <si>
    <t>2.3
2.4
2.5
3.2
3.3
3.4
3.5</t>
  </si>
  <si>
    <t>Altered Porphyritic Trachyandesite (Latite)</t>
  </si>
  <si>
    <t>Waitara (Braeside) Quarry</t>
  </si>
  <si>
    <t>RQ093</t>
  </si>
  <si>
    <t>2024-125</t>
  </si>
  <si>
    <t>Braeside Road, Nebo QLD 4742</t>
  </si>
  <si>
    <t>26 Saleyard Drive, Nebo QLD 4742</t>
  </si>
  <si>
    <t>Waitara (BRW) Quarry</t>
  </si>
  <si>
    <t>RQ105</t>
  </si>
  <si>
    <t>2025-074</t>
  </si>
  <si>
    <t>24 Braeside Road, Nebo QLD 4742</t>
  </si>
  <si>
    <t>BRW Transport &amp; Quarries Pty Ltd</t>
  </si>
  <si>
    <t>102 Caseys Road Victoria Plains QLD 4751</t>
  </si>
  <si>
    <t>Wallaby Hill Quarry (Springsure)</t>
  </si>
  <si>
    <t>RQ378</t>
  </si>
  <si>
    <t>2024-109</t>
  </si>
  <si>
    <t>2380 Dawson Development Road, Springsure QLD 4722 (Access along Cona Creek School Bus Road)</t>
  </si>
  <si>
    <t>Krit Co Pty Ltd t/a Lanes Land Developments</t>
  </si>
  <si>
    <t>4 Dump Road  Springsure QLD 4722</t>
  </si>
  <si>
    <t>Walsh River Quarry</t>
  </si>
  <si>
    <t>RQ273</t>
  </si>
  <si>
    <t>2024-029</t>
  </si>
  <si>
    <t>450, Borzi Road, Mareeba QLD 4880</t>
  </si>
  <si>
    <t>4 Bowers Street, Mareeba QLD 4880</t>
  </si>
  <si>
    <t>Hornfelsed Metagreywacke /Hornfels</t>
  </si>
  <si>
    <t>Warrians Quarry</t>
  </si>
  <si>
    <t>RQ062</t>
  </si>
  <si>
    <t>2023-155</t>
  </si>
  <si>
    <t>Roma-Taroom Road, Euthulla 4455</t>
  </si>
  <si>
    <t>Waterfall Quarry</t>
  </si>
  <si>
    <t>RQ322</t>
  </si>
  <si>
    <t>2024-081</t>
  </si>
  <si>
    <t>613 Seventeen Mile Road, Helidon, QLD 4344</t>
  </si>
  <si>
    <t>Scotbar Pty Ltd T/A Rock Trade Industries</t>
  </si>
  <si>
    <t>613 Seventeen Mile Road, Helidon QLD 4343</t>
  </si>
  <si>
    <t xml:space="preserve">2.5
3.5 
4
</t>
  </si>
  <si>
    <t>Wattlegrove Quarry</t>
  </si>
  <si>
    <t>RQ535</t>
  </si>
  <si>
    <t>2024-108</t>
  </si>
  <si>
    <t>1304 Wattlegrove Road, Wattlegrove Qld 4610</t>
  </si>
  <si>
    <t>1304 Wattlegrove Road, Wattlegrove QLD 4610</t>
  </si>
  <si>
    <t>Microgranite [Adamellite]</t>
  </si>
  <si>
    <t>Wellcamp Quarry - Pit 3</t>
  </si>
  <si>
    <t>RQ351</t>
  </si>
  <si>
    <t>2023-054</t>
  </si>
  <si>
    <t>1215-1511 Toowoomba-Cecil Plains Road QLD 4350</t>
  </si>
  <si>
    <t>11 Bellera Court, Wellcamp Business Park, Wellcamp QLD 4350</t>
  </si>
  <si>
    <t>West Euri Creek (BQC) Quarry</t>
  </si>
  <si>
    <t>RQ050</t>
  </si>
  <si>
    <t>2024-067</t>
  </si>
  <si>
    <t>500 West Euri Road, Bowen QLD 4805</t>
  </si>
  <si>
    <t>Granodiorite/Tonalite and Rhyolite with minor Microgranite, Microdiorite Dykes/Amphibolite zones.</t>
  </si>
  <si>
    <t>Westwood Quarry</t>
  </si>
  <si>
    <t>RQ067</t>
  </si>
  <si>
    <t>2025-119</t>
  </si>
  <si>
    <t>Corner Capricorn Highway &amp; Leichardt Highway, Westwood QLD 4702</t>
  </si>
  <si>
    <t>33 Enterprise Drive, Gracemere 4702</t>
  </si>
  <si>
    <t>Altered Silica Undersaturated Glassy Basalt</t>
  </si>
  <si>
    <t>Whitsunday Quarry</t>
  </si>
  <si>
    <t>RQ121</t>
  </si>
  <si>
    <t>2025-015</t>
  </si>
  <si>
    <t>824 Shute-Harbour Rd, Mt Marlow QLD 4800</t>
  </si>
  <si>
    <t>PO Box 22, Proserpine QLD 4800</t>
  </si>
  <si>
    <t>Altered Andesitic Ash Tuff and minor Pyroxene Basalt</t>
  </si>
  <si>
    <t>Whymere Sands (Extraction Area A)</t>
  </si>
  <si>
    <t>RQ575</t>
  </si>
  <si>
    <t>2024-041</t>
  </si>
  <si>
    <t xml:space="preserve">Gooburrum Road, Fairymead QLD 4670 </t>
  </si>
  <si>
    <t>McBrides Sands</t>
  </si>
  <si>
    <t>36 Palmerston Drive, Branyan QLD 4670</t>
  </si>
  <si>
    <t>Mainly Medium Quartzose Aeolian Sand</t>
  </si>
  <si>
    <t>Whymere Sands (Extraction Area D)</t>
  </si>
  <si>
    <t>RQ319</t>
  </si>
  <si>
    <t>2024-042</t>
  </si>
  <si>
    <t xml:space="preserve">Hills Road, off Fairydale Road, Fairymead QLD 4670 </t>
  </si>
  <si>
    <t>Fine to Medium Grained Quartzofeldspathic Aeolian Sand (Possible Reworked Delta Deposit)</t>
  </si>
  <si>
    <t>Wilgatoo Pit</t>
  </si>
  <si>
    <t>RQ505</t>
  </si>
  <si>
    <t>2026-011</t>
  </si>
  <si>
    <t>"Wilgatoo",  Moonie Highway, St. George QLD4487</t>
  </si>
  <si>
    <t>11574 Carnarvon Highway, St George QLD 4487</t>
  </si>
  <si>
    <t>Sandstone, Siltstone, Mudstone &amp; Conglomerate</t>
  </si>
  <si>
    <t>Winchester Downs Sand Deposit (Isaac River)</t>
  </si>
  <si>
    <t>RQ554</t>
  </si>
  <si>
    <t>2025-118</t>
  </si>
  <si>
    <t>Winchester Downs, Moranbah QLD 4745 (Access via Winchester Access Road)</t>
  </si>
  <si>
    <t>Lot 118 Munbura Road, Belberra QLD 4741</t>
  </si>
  <si>
    <t>Mainly Medium to Coarse Grained Alluvial Quartz Sand</t>
  </si>
  <si>
    <t>Winchester Quarry</t>
  </si>
  <si>
    <t>RQ183</t>
  </si>
  <si>
    <t>2025-089</t>
  </si>
  <si>
    <t>Winchester Road, Moranbah QLD 4744</t>
  </si>
  <si>
    <t>Lot 118 Munbura Road, Belberra QLD 4740</t>
  </si>
  <si>
    <t>Porphyritic Quartz microdiorite</t>
  </si>
  <si>
    <t>Wolffdene Quarry</t>
  </si>
  <si>
    <t>RQ051</t>
  </si>
  <si>
    <t>2025-135</t>
  </si>
  <si>
    <t>145 Harts Road, Luscombe QLD 4207</t>
  </si>
  <si>
    <t>10 The Boulevard Brisbane Airport QLD 4008</t>
  </si>
  <si>
    <t>Wondai (Corbet) Quarry</t>
  </si>
  <si>
    <t>RQ030</t>
  </si>
  <si>
    <t>2025-100</t>
  </si>
  <si>
    <t>12653 Wondai - Chinchilla Rd, Ballogie QLD 4610</t>
  </si>
  <si>
    <t xml:space="preserve">Wongabel Quarry </t>
  </si>
  <si>
    <t>RQ063</t>
  </si>
  <si>
    <t>2024-019</t>
  </si>
  <si>
    <t>458 Wongabel Road, Atherton QLD 4883</t>
  </si>
  <si>
    <t>Wongabel Quarries and Concrete</t>
  </si>
  <si>
    <t>Granite [Adamellite]</t>
  </si>
  <si>
    <t>Yalkara Quarry</t>
  </si>
  <si>
    <t>RQ222</t>
  </si>
  <si>
    <t>2025-001</t>
  </si>
  <si>
    <t>Orange Creek Road, Orange Creek QLD 4715</t>
  </si>
  <si>
    <t>Heidelberg Materials Australia Pty Ltd.</t>
  </si>
  <si>
    <t>Hornfelsed Volcanoclastic Arenite &amp; Siltstone</t>
  </si>
  <si>
    <t>Yarwun Quarries</t>
  </si>
  <si>
    <t>RQ162</t>
  </si>
  <si>
    <t>2025-047</t>
  </si>
  <si>
    <t>Lot 31, Off Guerassimoff Road, Yarwun QLD 4694</t>
  </si>
  <si>
    <t>Butlers Yarwun Quarries Pty Ltd</t>
  </si>
  <si>
    <t>Hornfelsed Volcanoclastic Sandstone and Siltstone (Meta-Pelite) with minor Chert Bands</t>
  </si>
  <si>
    <t>Yatala Quarry</t>
  </si>
  <si>
    <t>RQ106</t>
  </si>
  <si>
    <t>2024-132</t>
  </si>
  <si>
    <t>Lot 1, Darlington Park Industrial Estate, Peachy Road, Luscombe QLD 4207</t>
  </si>
  <si>
    <t>Crushing Dynamics (QLD) Pty Ltd</t>
  </si>
  <si>
    <t>1 Peachey Road, Luscombe QLD 4207</t>
  </si>
  <si>
    <t>Metagreywacke &amp; Metasiltstone</t>
  </si>
  <si>
    <t>Yuleba Creek Sand</t>
  </si>
  <si>
    <t>RQ408</t>
  </si>
  <si>
    <t>2024-047</t>
  </si>
  <si>
    <t>Lot 43, Yuleba -Taroom Road, Yuleba QLD 4427</t>
  </si>
  <si>
    <t>147-161, Currey Street Roma QLD 4455</t>
  </si>
  <si>
    <t>Ferruginised Silcrete</t>
  </si>
  <si>
    <t>This list is regularly updated.  Please ensure that the current version is used.</t>
  </si>
  <si>
    <t>Registered Quarries current as at 25th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</si>
</sst>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/yy;@"/>
    <numFmt numFmtId="165" formatCode="0.000"/>
    <numFmt numFmtId="166" formatCode="0.000000"/>
    <numFmt numFmtId="167" formatCode="0.00000"/>
    <numFmt numFmtId="168" formatCode="0.000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70C0"/>
      <name val="Noto Sans"/>
      <family val="2"/>
    </font>
    <font>
      <b/>
      <sz val="12"/>
      <name val="Noto Sans"/>
      <family val="2"/>
    </font>
    <font>
      <sz val="11"/>
      <name val="Noto Sans"/>
      <family val="2"/>
    </font>
    <font>
      <sz val="11"/>
      <color rgb="FFFF0000"/>
      <name val="Noto Sans"/>
      <family val="2"/>
    </font>
    <font>
      <sz val="11"/>
      <color rgb="FF0070C0"/>
      <name val="Noto Sans"/>
      <family val="2"/>
    </font>
    <font>
      <sz val="12"/>
      <name val="Noto Sans"/>
      <family val="2"/>
    </font>
    <font>
      <sz val="14"/>
      <name val="Noto Sans"/>
      <family val="2"/>
    </font>
    <font>
      <b/>
      <sz val="18"/>
      <color rgb="FF0070C0"/>
      <name val="Noto Sans"/>
      <family val="2"/>
    </font>
    <font>
      <sz val="18"/>
      <name val="Noto Sans"/>
      <family val="2"/>
    </font>
    <font>
      <b/>
      <sz val="14"/>
      <name val="Noto Sans"/>
      <family val="2"/>
    </font>
    <font>
      <sz val="11"/>
      <color theme="1"/>
      <name val="Noto Sans"/>
      <family val="2"/>
    </font>
    <font>
      <b/>
      <sz val="11"/>
      <color rgb="FFFF0000"/>
      <name val="Noto Sans"/>
      <family val="2"/>
    </font>
    <font>
      <b/>
      <sz val="11"/>
      <name val="Noto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9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0" fillId="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</cellStyleXfs>
  <cellXfs count="150">
    <xf numFmtId="0" fontId="0" fillId="0" borderId="0" xfId="0"/>
    <xf numFmtId="0" fontId="13" fillId="0" borderId="1" xfId="4" applyFont="1" applyFill="1" applyBorder="1" applyAlignment="1" applyProtection="1">
      <alignment horizontal="center" vertical="center" wrapText="1"/>
    </xf>
    <xf numFmtId="0" fontId="13" fillId="0" borderId="1" xfId="1" applyFont="1" applyFill="1" applyBorder="1" applyAlignment="1" applyProtection="1">
      <alignment horizontal="left" vertical="center" wrapText="1"/>
    </xf>
    <xf numFmtId="0" fontId="13" fillId="0" borderId="1" xfId="1" applyFont="1" applyFill="1" applyBorder="1" applyAlignment="1" applyProtection="1">
      <alignment horizontal="center" vertical="center" wrapText="1"/>
    </xf>
    <xf numFmtId="164" fontId="13" fillId="0" borderId="1" xfId="1" applyNumberFormat="1" applyFont="1" applyFill="1" applyBorder="1" applyAlignment="1" applyProtection="1">
      <alignment horizontal="center" vertical="center" wrapText="1"/>
    </xf>
    <xf numFmtId="165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8" xfId="1" applyFont="1" applyFill="1" applyBorder="1" applyAlignment="1" applyProtection="1">
      <alignment horizontal="center" vertical="center" wrapText="1"/>
    </xf>
    <xf numFmtId="0" fontId="13" fillId="0" borderId="1" xfId="7" applyFont="1" applyBorder="1" applyAlignment="1" applyProtection="1">
      <alignment horizontal="center"/>
    </xf>
    <xf numFmtId="0" fontId="13" fillId="0" borderId="4" xfId="1" applyFont="1" applyFill="1" applyBorder="1" applyAlignment="1" applyProtection="1">
      <alignment horizontal="left" vertical="center" wrapText="1"/>
    </xf>
    <xf numFmtId="0" fontId="13" fillId="0" borderId="1" xfId="3" applyFont="1" applyFill="1" applyBorder="1" applyAlignment="1" applyProtection="1">
      <alignment horizontal="center" vertical="center" wrapText="1"/>
    </xf>
    <xf numFmtId="166" fontId="13" fillId="0" borderId="1" xfId="1" applyNumberFormat="1" applyFont="1" applyFill="1" applyBorder="1" applyAlignment="1" applyProtection="1">
      <alignment horizontal="left" vertical="center" wrapText="1"/>
    </xf>
    <xf numFmtId="0" fontId="13" fillId="0" borderId="4" xfId="1" applyFont="1" applyFill="1" applyBorder="1" applyAlignment="1" applyProtection="1">
      <alignment vertical="center" wrapText="1"/>
    </xf>
    <xf numFmtId="0" fontId="13" fillId="0" borderId="1" xfId="1" applyFont="1" applyFill="1" applyBorder="1" applyAlignment="1" applyProtection="1">
      <alignment vertical="center" wrapText="1"/>
    </xf>
    <xf numFmtId="0" fontId="13" fillId="0" borderId="1" xfId="2" applyFont="1" applyFill="1" applyBorder="1" applyAlignment="1" applyProtection="1">
      <alignment horizontal="center" vertical="center" wrapText="1"/>
    </xf>
    <xf numFmtId="1" fontId="13" fillId="0" borderId="1" xfId="1" applyNumberFormat="1" applyFont="1" applyFill="1" applyBorder="1" applyAlignment="1" applyProtection="1">
      <alignment horizontal="center" vertical="center" wrapText="1"/>
    </xf>
    <xf numFmtId="0" fontId="21" fillId="0" borderId="1" xfId="1" applyFont="1" applyFill="1" applyBorder="1" applyAlignment="1" applyProtection="1">
      <alignment horizontal="left" vertical="center" wrapText="1"/>
    </xf>
    <xf numFmtId="0" fontId="21" fillId="0" borderId="1" xfId="1" applyFont="1" applyFill="1" applyBorder="1" applyAlignment="1" applyProtection="1">
      <alignment horizontal="center" vertical="center" wrapText="1"/>
    </xf>
    <xf numFmtId="164" fontId="21" fillId="0" borderId="1" xfId="1" applyNumberFormat="1" applyFont="1" applyFill="1" applyBorder="1" applyAlignment="1" applyProtection="1">
      <alignment horizontal="center" vertical="center" wrapText="1"/>
    </xf>
    <xf numFmtId="166" fontId="21" fillId="0" borderId="1" xfId="1" applyNumberFormat="1" applyFont="1" applyFill="1" applyBorder="1" applyAlignment="1" applyProtection="1">
      <alignment horizontal="left" vertical="center" wrapText="1"/>
    </xf>
    <xf numFmtId="165" fontId="21" fillId="0" borderId="1" xfId="1" applyNumberFormat="1" applyFont="1" applyFill="1" applyBorder="1" applyAlignment="1" applyProtection="1">
      <alignment horizontal="center" vertical="center" wrapText="1"/>
    </xf>
    <xf numFmtId="0" fontId="21" fillId="0" borderId="8" xfId="1" applyFont="1" applyFill="1" applyBorder="1" applyAlignment="1" applyProtection="1">
      <alignment horizontal="center" vertical="center" wrapText="1"/>
    </xf>
    <xf numFmtId="0" fontId="21" fillId="0" borderId="4" xfId="1" applyFont="1" applyFill="1" applyBorder="1" applyAlignment="1" applyProtection="1">
      <alignment vertical="center" wrapText="1"/>
    </xf>
    <xf numFmtId="0" fontId="21" fillId="0" borderId="1" xfId="1" applyFont="1" applyFill="1" applyBorder="1" applyAlignment="1" applyProtection="1">
      <alignment vertical="center" wrapText="1"/>
    </xf>
    <xf numFmtId="0" fontId="13" fillId="0" borderId="1" xfId="2" applyFont="1" applyFill="1" applyBorder="1" applyAlignment="1" applyProtection="1">
      <alignment horizontal="left" vertical="center" wrapText="1"/>
    </xf>
    <xf numFmtId="164" fontId="13" fillId="0" borderId="1" xfId="2" applyNumberFormat="1" applyFont="1" applyFill="1" applyBorder="1" applyAlignment="1" applyProtection="1">
      <alignment horizontal="center" vertical="center" wrapText="1"/>
    </xf>
    <xf numFmtId="165" fontId="13" fillId="0" borderId="1" xfId="2" applyNumberFormat="1" applyFont="1" applyFill="1" applyBorder="1" applyAlignment="1" applyProtection="1">
      <alignment horizontal="center" vertical="center" wrapText="1"/>
    </xf>
    <xf numFmtId="0" fontId="13" fillId="0" borderId="8" xfId="2" applyFont="1" applyFill="1" applyBorder="1" applyAlignment="1" applyProtection="1">
      <alignment horizontal="center" vertical="center" wrapText="1"/>
    </xf>
    <xf numFmtId="0" fontId="13" fillId="0" borderId="4" xfId="2" applyFont="1" applyFill="1" applyBorder="1" applyAlignment="1" applyProtection="1">
      <alignment vertical="center" wrapText="1"/>
    </xf>
    <xf numFmtId="0" fontId="13" fillId="0" borderId="1" xfId="2" applyFont="1" applyFill="1" applyBorder="1" applyAlignment="1" applyProtection="1">
      <alignment vertical="center" wrapText="1"/>
    </xf>
    <xf numFmtId="0" fontId="13" fillId="0" borderId="1" xfId="7" applyFont="1" applyBorder="1" applyAlignment="1" applyProtection="1">
      <alignment horizontal="center" vertical="center"/>
    </xf>
    <xf numFmtId="0" fontId="13" fillId="0" borderId="1" xfId="7" applyFont="1" applyBorder="1" applyAlignment="1" applyProtection="1">
      <alignment horizontal="center" vertical="center" wrapText="1"/>
    </xf>
    <xf numFmtId="0" fontId="13" fillId="0" borderId="8" xfId="7" applyFont="1" applyBorder="1" applyAlignment="1" applyProtection="1">
      <alignment horizontal="center" vertical="center"/>
    </xf>
    <xf numFmtId="0" fontId="13" fillId="0" borderId="1" xfId="4" applyFont="1" applyFill="1" applyBorder="1" applyAlignment="1" applyProtection="1">
      <alignment horizontal="left" vertical="center" wrapText="1"/>
    </xf>
    <xf numFmtId="164" fontId="13" fillId="0" borderId="1" xfId="4" applyNumberFormat="1" applyFont="1" applyFill="1" applyBorder="1" applyAlignment="1" applyProtection="1">
      <alignment horizontal="center" vertical="center" wrapText="1"/>
    </xf>
    <xf numFmtId="165" fontId="13" fillId="0" borderId="1" xfId="4" quotePrefix="1" applyNumberFormat="1" applyFont="1" applyFill="1" applyBorder="1" applyAlignment="1" applyProtection="1">
      <alignment horizontal="center" vertical="center" wrapText="1"/>
    </xf>
    <xf numFmtId="165" fontId="13" fillId="0" borderId="1" xfId="4" applyNumberFormat="1" applyFont="1" applyFill="1" applyBorder="1" applyAlignment="1" applyProtection="1">
      <alignment horizontal="center" vertical="center" wrapText="1"/>
    </xf>
    <xf numFmtId="0" fontId="13" fillId="0" borderId="8" xfId="4" applyFont="1" applyFill="1" applyBorder="1" applyAlignment="1" applyProtection="1">
      <alignment horizontal="center" vertical="center" wrapText="1"/>
    </xf>
    <xf numFmtId="0" fontId="13" fillId="0" borderId="4" xfId="4" applyFont="1" applyFill="1" applyBorder="1" applyAlignment="1" applyProtection="1">
      <alignment vertical="center" wrapText="1"/>
    </xf>
    <xf numFmtId="0" fontId="13" fillId="0" borderId="1" xfId="4" applyFont="1" applyFill="1" applyBorder="1" applyAlignment="1" applyProtection="1">
      <alignment vertical="center" wrapText="1"/>
    </xf>
    <xf numFmtId="0" fontId="14" fillId="0" borderId="1" xfId="1" applyFont="1" applyFill="1" applyBorder="1" applyAlignment="1" applyProtection="1">
      <alignment horizontal="center" vertical="center" wrapText="1"/>
    </xf>
    <xf numFmtId="0" fontId="13" fillId="0" borderId="8" xfId="7" applyFont="1" applyBorder="1" applyAlignment="1" applyProtection="1">
      <alignment horizontal="center"/>
    </xf>
    <xf numFmtId="0" fontId="21" fillId="0" borderId="1" xfId="7" applyFont="1" applyBorder="1" applyAlignment="1" applyProtection="1">
      <alignment horizontal="left" vertical="center" wrapText="1"/>
    </xf>
    <xf numFmtId="0" fontId="21" fillId="0" borderId="1" xfId="7" applyFont="1" applyBorder="1" applyAlignment="1" applyProtection="1">
      <alignment horizontal="center" vertical="center" wrapText="1"/>
    </xf>
    <xf numFmtId="164" fontId="21" fillId="0" borderId="1" xfId="7" applyNumberFormat="1" applyFont="1" applyBorder="1" applyAlignment="1" applyProtection="1">
      <alignment horizontal="center" vertical="center" wrapText="1"/>
    </xf>
    <xf numFmtId="165" fontId="21" fillId="0" borderId="1" xfId="7" applyNumberFormat="1" applyFont="1" applyBorder="1" applyAlignment="1" applyProtection="1">
      <alignment horizontal="center" vertical="center" wrapText="1"/>
    </xf>
    <xf numFmtId="0" fontId="21" fillId="0" borderId="8" xfId="7" applyFont="1" applyBorder="1" applyAlignment="1" applyProtection="1">
      <alignment horizontal="center" vertical="center" wrapText="1"/>
    </xf>
    <xf numFmtId="0" fontId="21" fillId="0" borderId="4" xfId="7" applyFont="1" applyBorder="1" applyAlignment="1" applyProtection="1">
      <alignment vertical="center" wrapText="1"/>
    </xf>
    <xf numFmtId="0" fontId="21" fillId="0" borderId="1" xfId="7" applyFont="1" applyBorder="1" applyAlignment="1" applyProtection="1">
      <alignment vertical="center" wrapText="1"/>
    </xf>
    <xf numFmtId="165" fontId="13" fillId="0" borderId="1" xfId="1" quotePrefix="1" applyNumberFormat="1" applyFont="1" applyFill="1" applyBorder="1" applyAlignment="1" applyProtection="1">
      <alignment horizontal="center" vertical="center" wrapText="1"/>
    </xf>
    <xf numFmtId="0" fontId="21" fillId="0" borderId="1" xfId="8" applyFont="1" applyFill="1" applyBorder="1" applyAlignment="1" applyProtection="1">
      <alignment horizontal="left" vertical="center" wrapText="1"/>
    </xf>
    <xf numFmtId="0" fontId="21" fillId="0" borderId="1" xfId="8" applyFont="1" applyFill="1" applyBorder="1" applyAlignment="1" applyProtection="1">
      <alignment horizontal="center" vertical="center" wrapText="1"/>
    </xf>
    <xf numFmtId="164" fontId="21" fillId="0" borderId="1" xfId="8" applyNumberFormat="1" applyFont="1" applyFill="1" applyBorder="1" applyAlignment="1" applyProtection="1">
      <alignment horizontal="center" vertical="center" wrapText="1"/>
    </xf>
    <xf numFmtId="165" fontId="21" fillId="0" borderId="1" xfId="8" quotePrefix="1" applyNumberFormat="1" applyFont="1" applyFill="1" applyBorder="1" applyAlignment="1" applyProtection="1">
      <alignment horizontal="center" vertical="center" wrapText="1"/>
    </xf>
    <xf numFmtId="165" fontId="21" fillId="0" borderId="1" xfId="8" applyNumberFormat="1" applyFont="1" applyFill="1" applyBorder="1" applyAlignment="1" applyProtection="1">
      <alignment horizontal="center" vertical="center" wrapText="1"/>
    </xf>
    <xf numFmtId="1" fontId="21" fillId="0" borderId="1" xfId="8" applyNumberFormat="1" applyFont="1" applyFill="1" applyBorder="1" applyAlignment="1" applyProtection="1">
      <alignment horizontal="center" vertical="center" wrapText="1"/>
    </xf>
    <xf numFmtId="0" fontId="21" fillId="0" borderId="1" xfId="2" applyFont="1" applyFill="1" applyBorder="1" applyAlignment="1" applyProtection="1">
      <alignment horizontal="center" vertical="center" wrapText="1"/>
    </xf>
    <xf numFmtId="0" fontId="22" fillId="0" borderId="1" xfId="8" applyFont="1" applyFill="1" applyBorder="1" applyAlignment="1" applyProtection="1">
      <alignment horizontal="center" vertical="center" wrapText="1"/>
    </xf>
    <xf numFmtId="0" fontId="21" fillId="0" borderId="8" xfId="8" applyFont="1" applyFill="1" applyBorder="1" applyAlignment="1" applyProtection="1">
      <alignment horizontal="center" vertical="center" wrapText="1"/>
    </xf>
    <xf numFmtId="0" fontId="21" fillId="0" borderId="4" xfId="8" applyFont="1" applyFill="1" applyBorder="1" applyAlignment="1" applyProtection="1">
      <alignment horizontal="left" vertical="center" wrapText="1"/>
    </xf>
    <xf numFmtId="167" fontId="13" fillId="0" borderId="1" xfId="1" applyNumberFormat="1" applyFont="1" applyFill="1" applyBorder="1" applyAlignment="1" applyProtection="1">
      <alignment horizontal="left" vertical="center" wrapText="1"/>
    </xf>
    <xf numFmtId="167" fontId="13" fillId="0" borderId="1" xfId="1" applyNumberFormat="1" applyFont="1" applyFill="1" applyBorder="1" applyAlignment="1" applyProtection="1">
      <alignment horizontal="center" vertical="center" wrapText="1"/>
    </xf>
    <xf numFmtId="167" fontId="13" fillId="0" borderId="8" xfId="1" applyNumberFormat="1" applyFont="1" applyFill="1" applyBorder="1" applyAlignment="1" applyProtection="1">
      <alignment horizontal="center" vertical="center" wrapText="1"/>
    </xf>
    <xf numFmtId="167" fontId="13" fillId="0" borderId="4" xfId="1" applyNumberFormat="1" applyFont="1" applyFill="1" applyBorder="1" applyAlignment="1" applyProtection="1">
      <alignment vertical="center" wrapText="1"/>
    </xf>
    <xf numFmtId="167" fontId="13" fillId="0" borderId="1" xfId="1" applyNumberFormat="1" applyFont="1" applyFill="1" applyBorder="1" applyAlignment="1" applyProtection="1">
      <alignment vertical="center" wrapText="1"/>
    </xf>
    <xf numFmtId="0" fontId="21" fillId="0" borderId="1" xfId="2" applyFont="1" applyFill="1" applyBorder="1" applyAlignment="1" applyProtection="1">
      <alignment vertical="center" wrapText="1"/>
    </xf>
    <xf numFmtId="0" fontId="21" fillId="0" borderId="4" xfId="1" applyFont="1" applyFill="1" applyBorder="1" applyAlignment="1" applyProtection="1">
      <alignment horizontal="left" vertical="center" wrapText="1"/>
    </xf>
    <xf numFmtId="1" fontId="21" fillId="0" borderId="1" xfId="1" applyNumberFormat="1" applyFont="1" applyFill="1" applyBorder="1" applyAlignment="1" applyProtection="1">
      <alignment horizontal="center" vertical="center" wrapText="1"/>
    </xf>
    <xf numFmtId="164" fontId="13" fillId="0" borderId="1" xfId="7" applyNumberFormat="1" applyFont="1" applyBorder="1" applyAlignment="1" applyProtection="1">
      <alignment horizontal="center" vertical="center" wrapText="1"/>
    </xf>
    <xf numFmtId="0" fontId="21" fillId="0" borderId="1" xfId="2" applyFont="1" applyFill="1" applyBorder="1" applyAlignment="1" applyProtection="1">
      <alignment horizontal="left" vertical="center" wrapText="1"/>
    </xf>
    <xf numFmtId="164" fontId="21" fillId="0" borderId="1" xfId="2" applyNumberFormat="1" applyFont="1" applyFill="1" applyBorder="1" applyAlignment="1" applyProtection="1">
      <alignment horizontal="center" vertical="center" wrapText="1"/>
    </xf>
    <xf numFmtId="0" fontId="21" fillId="0" borderId="8" xfId="2" applyFont="1" applyFill="1" applyBorder="1" applyAlignment="1" applyProtection="1">
      <alignment horizontal="center" vertical="center" wrapText="1"/>
    </xf>
    <xf numFmtId="0" fontId="21" fillId="0" borderId="4" xfId="2" applyFont="1" applyFill="1" applyBorder="1" applyAlignment="1" applyProtection="1">
      <alignment vertical="center" wrapText="1"/>
    </xf>
    <xf numFmtId="0" fontId="13" fillId="0" borderId="1" xfId="7" applyFont="1" applyBorder="1" applyAlignment="1" applyProtection="1">
      <alignment horizontal="left" vertical="center" wrapText="1"/>
    </xf>
    <xf numFmtId="165" fontId="13" fillId="0" borderId="1" xfId="7" applyNumberFormat="1" applyFont="1" applyBorder="1" applyAlignment="1" applyProtection="1">
      <alignment horizontal="center" vertical="center" wrapText="1"/>
    </xf>
    <xf numFmtId="0" fontId="13" fillId="0" borderId="4" xfId="7" applyFont="1" applyBorder="1" applyAlignment="1" applyProtection="1">
      <alignment vertical="center" wrapText="1"/>
    </xf>
    <xf numFmtId="0" fontId="13" fillId="0" borderId="1" xfId="7" applyFont="1" applyBorder="1" applyAlignment="1" applyProtection="1">
      <alignment vertical="center" wrapText="1"/>
    </xf>
    <xf numFmtId="0" fontId="13" fillId="0" borderId="4" xfId="0" applyFont="1" applyBorder="1" applyAlignment="1" applyProtection="1">
      <alignment horizontal="left" vertical="center" wrapText="1"/>
    </xf>
    <xf numFmtId="164" fontId="13" fillId="0" borderId="1" xfId="1" applyNumberFormat="1" applyFont="1" applyFill="1" applyBorder="1" applyAlignment="1" applyProtection="1">
      <alignment horizontal="left" vertical="center" wrapText="1"/>
    </xf>
    <xf numFmtId="0" fontId="21" fillId="0" borderId="1" xfId="4" applyFont="1" applyFill="1" applyBorder="1" applyAlignment="1" applyProtection="1">
      <alignment horizontal="left" vertical="center" wrapText="1"/>
    </xf>
    <xf numFmtId="0" fontId="21" fillId="0" borderId="1" xfId="4" applyFont="1" applyFill="1" applyBorder="1" applyAlignment="1" applyProtection="1">
      <alignment horizontal="center" vertical="center" wrapText="1"/>
    </xf>
    <xf numFmtId="0" fontId="21" fillId="0" borderId="8" xfId="4" applyFont="1" applyFill="1" applyBorder="1" applyAlignment="1" applyProtection="1">
      <alignment horizontal="center" vertical="center" wrapText="1"/>
    </xf>
    <xf numFmtId="0" fontId="21" fillId="0" borderId="1" xfId="4" applyFont="1" applyFill="1" applyBorder="1" applyAlignment="1" applyProtection="1">
      <alignment vertical="center" wrapText="1"/>
    </xf>
    <xf numFmtId="0" fontId="13" fillId="0" borderId="8" xfId="7" applyFont="1" applyBorder="1" applyAlignment="1" applyProtection="1">
      <alignment horizontal="center" vertical="center" wrapText="1"/>
    </xf>
    <xf numFmtId="0" fontId="13" fillId="0" borderId="4" xfId="7" applyFont="1" applyBorder="1" applyAlignment="1" applyProtection="1">
      <alignment horizontal="left" vertical="center" wrapText="1"/>
    </xf>
    <xf numFmtId="168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7" applyFont="1" applyBorder="1" applyAlignment="1" applyProtection="1">
      <alignment horizontal="center" vertical="center" textRotation="90" wrapText="1"/>
    </xf>
    <xf numFmtId="0" fontId="13" fillId="0" borderId="1" xfId="6" applyFont="1" applyBorder="1" applyAlignment="1" applyProtection="1">
      <alignment horizontal="center" vertical="center" wrapText="1"/>
    </xf>
    <xf numFmtId="0" fontId="13" fillId="0" borderId="1" xfId="8" applyFont="1" applyFill="1" applyBorder="1" applyAlignment="1" applyProtection="1">
      <alignment horizontal="left" vertical="center" wrapText="1"/>
    </xf>
    <xf numFmtId="166" fontId="13" fillId="0" borderId="0" xfId="1" applyNumberFormat="1" applyFont="1" applyFill="1" applyBorder="1" applyAlignment="1" applyProtection="1">
      <alignment horizontal="left" vertical="center" wrapText="1"/>
    </xf>
    <xf numFmtId="0" fontId="21" fillId="0" borderId="1" xfId="7" applyFont="1" applyBorder="1" applyAlignment="1" applyProtection="1">
      <alignment horizontal="center"/>
    </xf>
    <xf numFmtId="0" fontId="13" fillId="0" borderId="1" xfId="7" applyFont="1" applyBorder="1" applyAlignment="1" applyProtection="1">
      <alignment vertical="center"/>
    </xf>
    <xf numFmtId="165" fontId="13" fillId="0" borderId="1" xfId="6" applyNumberFormat="1" applyFont="1" applyBorder="1" applyAlignment="1" applyProtection="1">
      <alignment horizontal="center" vertical="center" wrapText="1"/>
    </xf>
    <xf numFmtId="0" fontId="14" fillId="0" borderId="1" xfId="7" applyFont="1" applyBorder="1" applyAlignment="1" applyProtection="1">
      <alignment horizontal="center" vertical="center"/>
    </xf>
    <xf numFmtId="0" fontId="13" fillId="0" borderId="1" xfId="1" applyFont="1" applyFill="1" applyBorder="1" applyAlignment="1" applyProtection="1">
      <alignment horizontal="center" vertical="center" textRotation="255" wrapText="1"/>
    </xf>
    <xf numFmtId="0" fontId="23" fillId="0" borderId="1" xfId="8" applyFont="1" applyFill="1" applyBorder="1" applyAlignment="1" applyProtection="1">
      <alignment horizontal="center" vertical="center" wrapText="1"/>
    </xf>
    <xf numFmtId="0" fontId="13" fillId="0" borderId="5" xfId="1" applyFont="1" applyFill="1" applyBorder="1" applyAlignment="1" applyProtection="1">
      <alignment horizontal="left" vertical="center" wrapText="1"/>
    </xf>
    <xf numFmtId="0" fontId="13" fillId="0" borderId="5" xfId="1" applyFont="1" applyFill="1" applyBorder="1" applyAlignment="1" applyProtection="1">
      <alignment horizontal="center" vertical="center" wrapText="1"/>
    </xf>
    <xf numFmtId="164" fontId="13" fillId="0" borderId="5" xfId="1" applyNumberFormat="1" applyFont="1" applyFill="1" applyBorder="1" applyAlignment="1" applyProtection="1">
      <alignment horizontal="center" vertical="center" wrapText="1"/>
    </xf>
    <xf numFmtId="165" fontId="13" fillId="0" borderId="5" xfId="1" applyNumberFormat="1" applyFont="1" applyFill="1" applyBorder="1" applyAlignment="1" applyProtection="1">
      <alignment horizontal="center" vertical="center" wrapText="1"/>
    </xf>
    <xf numFmtId="0" fontId="13" fillId="0" borderId="6" xfId="1" applyFont="1" applyFill="1" applyBorder="1" applyAlignment="1" applyProtection="1">
      <alignment horizontal="center" vertical="center" wrapText="1"/>
    </xf>
    <xf numFmtId="0" fontId="13" fillId="0" borderId="6" xfId="7" applyFont="1" applyBorder="1" applyAlignment="1" applyProtection="1">
      <alignment horizontal="center"/>
    </xf>
    <xf numFmtId="0" fontId="13" fillId="0" borderId="5" xfId="7" applyFont="1" applyBorder="1" applyAlignment="1" applyProtection="1">
      <alignment horizontal="center"/>
    </xf>
    <xf numFmtId="0" fontId="13" fillId="0" borderId="7" xfId="1" applyFont="1" applyFill="1" applyBorder="1" applyAlignment="1" applyProtection="1">
      <alignment vertical="center" wrapText="1"/>
    </xf>
    <xf numFmtId="0" fontId="13" fillId="0" borderId="5" xfId="1" applyFont="1" applyFill="1" applyBorder="1" applyAlignment="1" applyProtection="1">
      <alignment vertical="center" wrapText="1"/>
    </xf>
    <xf numFmtId="0" fontId="21" fillId="0" borderId="4" xfId="7" applyFont="1" applyBorder="1" applyAlignment="1" applyProtection="1">
      <alignment horizontal="left" vertical="center" wrapText="1"/>
    </xf>
    <xf numFmtId="0" fontId="13" fillId="0" borderId="1" xfId="3" applyFont="1" applyFill="1" applyBorder="1" applyAlignment="1" applyProtection="1">
      <alignment vertical="center"/>
    </xf>
    <xf numFmtId="0" fontId="21" fillId="0" borderId="1" xfId="1" applyFont="1" applyFill="1" applyBorder="1" applyAlignment="1" applyProtection="1">
      <alignment horizontal="center" vertical="center" textRotation="90" wrapText="1"/>
    </xf>
    <xf numFmtId="1" fontId="21" fillId="0" borderId="1" xfId="7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vertical="center"/>
    </xf>
    <xf numFmtId="168" fontId="21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Font="1" applyFill="1" applyBorder="1" applyAlignment="1" applyProtection="1">
      <alignment horizontal="left" vertical="center" wrapText="1"/>
    </xf>
    <xf numFmtId="0" fontId="13" fillId="0" borderId="1" xfId="6" applyFont="1" applyBorder="1" applyAlignment="1" applyProtection="1">
      <alignment horizontal="left" vertical="center" wrapText="1"/>
    </xf>
    <xf numFmtId="0" fontId="21" fillId="0" borderId="1" xfId="0" applyFont="1" applyBorder="1" applyAlignment="1" applyProtection="1">
      <alignment horizontal="center"/>
    </xf>
    <xf numFmtId="0" fontId="13" fillId="0" borderId="1" xfId="1" applyFont="1" applyFill="1" applyBorder="1" applyAlignment="1" applyProtection="1">
      <alignment horizontal="center" textRotation="90" wrapText="1"/>
    </xf>
    <xf numFmtId="1" fontId="13" fillId="0" borderId="1" xfId="7" applyNumberFormat="1" applyFont="1" applyBorder="1" applyAlignment="1" applyProtection="1">
      <alignment horizontal="center" vertical="center" wrapText="1"/>
    </xf>
    <xf numFmtId="0" fontId="13" fillId="0" borderId="1" xfId="2" applyFont="1" applyFill="1" applyBorder="1" applyAlignment="1" applyProtection="1">
      <alignment horizontal="centerContinuous" vertical="center" wrapText="1"/>
    </xf>
    <xf numFmtId="0" fontId="13" fillId="0" borderId="1" xfId="2" applyFont="1" applyFill="1" applyBorder="1" applyAlignment="1" applyProtection="1">
      <alignment horizontal="center" vertical="center" textRotation="90" wrapText="1"/>
    </xf>
    <xf numFmtId="0" fontId="21" fillId="0" borderId="1" xfId="7" applyFont="1" applyBorder="1" applyAlignment="1" applyProtection="1">
      <alignment horizontal="center" vertical="center" textRotation="90" wrapText="1"/>
    </xf>
    <xf numFmtId="0" fontId="13" fillId="0" borderId="1" xfId="1" applyFont="1" applyFill="1" applyBorder="1" applyAlignment="1" applyProtection="1">
      <alignment horizontal="center" vertical="center" textRotation="90" wrapText="1"/>
    </xf>
    <xf numFmtId="0" fontId="18" fillId="5" borderId="3" xfId="0" applyFont="1" applyFill="1" applyBorder="1" applyAlignment="1" applyProtection="1">
      <alignment horizontal="left"/>
    </xf>
    <xf numFmtId="0" fontId="18" fillId="5" borderId="10" xfId="0" applyFont="1" applyFill="1" applyBorder="1" applyAlignment="1" applyProtection="1">
      <alignment horizontal="left"/>
    </xf>
    <xf numFmtId="0" fontId="18" fillId="5" borderId="11" xfId="0" applyFont="1" applyFill="1" applyBorder="1" applyAlignment="1" applyProtection="1">
      <alignment horizontal="left"/>
    </xf>
    <xf numFmtId="0" fontId="19" fillId="0" borderId="0" xfId="0" applyFont="1" applyProtection="1"/>
    <xf numFmtId="0" fontId="20" fillId="5" borderId="3" xfId="0" applyFont="1" applyFill="1" applyBorder="1" applyAlignment="1" applyProtection="1">
      <alignment horizontal="left" vertical="center"/>
    </xf>
    <xf numFmtId="0" fontId="20" fillId="5" borderId="10" xfId="0" applyFont="1" applyFill="1" applyBorder="1" applyAlignment="1" applyProtection="1">
      <alignment horizontal="left" vertical="center"/>
    </xf>
    <xf numFmtId="0" fontId="20" fillId="5" borderId="11" xfId="0" applyFont="1" applyFill="1" applyBorder="1" applyAlignment="1" applyProtection="1">
      <alignment horizontal="left" vertical="center"/>
    </xf>
    <xf numFmtId="0" fontId="20" fillId="0" borderId="3" xfId="0" applyFont="1" applyBorder="1" applyAlignment="1" applyProtection="1">
      <alignment horizontal="center" vertical="center" wrapText="1"/>
    </xf>
    <xf numFmtId="0" fontId="20" fillId="0" borderId="10" xfId="0" applyFont="1" applyBorder="1" applyAlignment="1" applyProtection="1">
      <alignment horizontal="center" vertical="center"/>
    </xf>
    <xf numFmtId="0" fontId="20" fillId="0" borderId="11" xfId="0" applyFont="1" applyBorder="1" applyAlignment="1" applyProtection="1">
      <alignment horizontal="center" vertical="center"/>
    </xf>
    <xf numFmtId="0" fontId="17" fillId="0" borderId="3" xfId="0" applyFont="1" applyBorder="1" applyAlignment="1" applyProtection="1"/>
    <xf numFmtId="0" fontId="17" fillId="0" borderId="10" xfId="0" applyFont="1" applyBorder="1" applyAlignment="1" applyProtection="1"/>
    <xf numFmtId="0" fontId="17" fillId="0" borderId="11" xfId="0" applyFont="1" applyBorder="1" applyAlignment="1" applyProtection="1"/>
    <xf numFmtId="0" fontId="17" fillId="0" borderId="0" xfId="0" applyFont="1" applyProtection="1"/>
    <xf numFmtId="0" fontId="12" fillId="8" borderId="5" xfId="7" applyFont="1" applyFill="1" applyBorder="1" applyAlignment="1" applyProtection="1">
      <alignment horizontal="center" vertical="center" wrapText="1"/>
    </xf>
    <xf numFmtId="0" fontId="12" fillId="8" borderId="5" xfId="7" applyFont="1" applyFill="1" applyBorder="1" applyAlignment="1" applyProtection="1">
      <alignment horizontal="center" vertical="center" textRotation="90" wrapText="1"/>
    </xf>
    <xf numFmtId="0" fontId="12" fillId="8" borderId="5" xfId="2" applyFont="1" applyFill="1" applyBorder="1" applyAlignment="1" applyProtection="1">
      <alignment horizontal="center" vertical="center" textRotation="90" wrapText="1"/>
    </xf>
    <xf numFmtId="0" fontId="12" fillId="8" borderId="6" xfId="7" applyFont="1" applyFill="1" applyBorder="1" applyAlignment="1" applyProtection="1">
      <alignment horizontal="center" vertical="center" textRotation="90" wrapText="1"/>
    </xf>
    <xf numFmtId="0" fontId="12" fillId="8" borderId="5" xfId="7" applyFont="1" applyFill="1" applyBorder="1" applyAlignment="1" applyProtection="1">
      <alignment horizontal="center" vertical="center" textRotation="90"/>
    </xf>
    <xf numFmtId="0" fontId="12" fillId="8" borderId="7" xfId="7" applyFont="1" applyFill="1" applyBorder="1" applyAlignment="1" applyProtection="1">
      <alignment horizontal="center" vertical="center" wrapText="1"/>
    </xf>
    <xf numFmtId="0" fontId="16" fillId="0" borderId="0" xfId="0" applyFont="1" applyProtection="1"/>
    <xf numFmtId="0" fontId="13" fillId="0" borderId="0" xfId="0" applyFont="1" applyFill="1" applyProtection="1"/>
    <xf numFmtId="0" fontId="14" fillId="0" borderId="0" xfId="0" applyFont="1" applyFill="1" applyProtection="1"/>
    <xf numFmtId="0" fontId="15" fillId="0" borderId="0" xfId="0" applyFont="1" applyFill="1" applyProtection="1"/>
    <xf numFmtId="0" fontId="14" fillId="0" borderId="9" xfId="0" applyFont="1" applyFill="1" applyBorder="1" applyProtection="1"/>
    <xf numFmtId="0" fontId="13" fillId="0" borderId="2" xfId="0" applyFont="1" applyFill="1" applyBorder="1" applyProtection="1"/>
    <xf numFmtId="0" fontId="13" fillId="0" borderId="0" xfId="0" applyFont="1" applyFill="1" applyAlignment="1" applyProtection="1">
      <alignment horizontal="center"/>
    </xf>
    <xf numFmtId="0" fontId="13" fillId="5" borderId="0" xfId="0" applyFont="1" applyFill="1" applyProtection="1"/>
    <xf numFmtId="0" fontId="13" fillId="0" borderId="0" xfId="0" applyFont="1" applyAlignment="1" applyProtection="1">
      <alignment horizontal="center"/>
    </xf>
    <xf numFmtId="0" fontId="13" fillId="0" borderId="0" xfId="0" applyFont="1" applyProtection="1"/>
    <xf numFmtId="0" fontId="13" fillId="0" borderId="0" xfId="0" applyFont="1" applyBorder="1" applyProtection="1"/>
  </cellXfs>
  <cellStyles count="13">
    <cellStyle name="40% - Accent4 2" xfId="10" xr:uid="{00000000-0005-0000-0000-000001000000}"/>
    <cellStyle name="40% - Accent4 3" xfId="11" xr:uid="{00000000-0005-0000-0000-000002000000}"/>
    <cellStyle name="40% - Accent4 3 2" xfId="12" xr:uid="{00000000-0005-0000-0000-000003000000}"/>
    <cellStyle name="Accent1" xfId="8" builtinId="29"/>
    <cellStyle name="Bad" xfId="1" builtinId="27"/>
    <cellStyle name="Good" xfId="2" builtinId="26"/>
    <cellStyle name="Hyperlink" xfId="3" builtinId="8"/>
    <cellStyle name="Neutral" xfId="4" builtinId="28"/>
    <cellStyle name="Normal" xfId="0" builtinId="0"/>
    <cellStyle name="Normal 2" xfId="9" xr:uid="{00000000-0005-0000-0000-00000D000000}"/>
    <cellStyle name="Normal 3" xfId="6" xr:uid="{00000000-0005-0000-0000-00000E000000}"/>
    <cellStyle name="Normal 4" xfId="7" xr:uid="{00000000-0005-0000-0000-00000F000000}"/>
    <cellStyle name="Normal 5" xfId="5" xr:uid="{00000000-0005-0000-0000-000010000000}"/>
  </cellStyles>
  <dxfs count="0"/>
  <tableStyles count="0" defaultTableStyle="TableStyleMedium2" defaultPivotStyle="PivotStyleLight16"/>
  <colors>
    <mruColors>
      <color rgb="FF00FFFF"/>
      <color rgb="FFFFCCCC"/>
      <color rgb="FFFF66FF"/>
      <color rgb="FFA9F1F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971550</xdr:colOff>
          <xdr:row>299</xdr:row>
          <xdr:rowOff>438150</xdr:rowOff>
        </xdr:from>
        <xdr:to>
          <xdr:col>5</xdr:col>
          <xdr:colOff>1362075</xdr:colOff>
          <xdr:row>339</xdr:row>
          <xdr:rowOff>104775</xdr:rowOff>
        </xdr:to>
        <xdr:sp macro="" textlink="">
          <xdr:nvSpPr>
            <xdr:cNvPr id="13323" name="Object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3</xdr:row>
          <xdr:rowOff>38100</xdr:rowOff>
        </xdr:from>
        <xdr:to>
          <xdr:col>43</xdr:col>
          <xdr:colOff>257175</xdr:colOff>
          <xdr:row>17</xdr:row>
          <xdr:rowOff>152400</xdr:rowOff>
        </xdr:to>
        <xdr:sp macro="" textlink="">
          <xdr:nvSpPr>
            <xdr:cNvPr id="13334" name="Object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0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29</xdr:col>
      <xdr:colOff>1625600</xdr:colOff>
      <xdr:row>0</xdr:row>
      <xdr:rowOff>25401</xdr:rowOff>
    </xdr:from>
    <xdr:to>
      <xdr:col>30</xdr:col>
      <xdr:colOff>2076524</xdr:colOff>
      <xdr:row>0</xdr:row>
      <xdr:rowOff>534085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442900" y="25401"/>
          <a:ext cx="2754704" cy="504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package" Target="../embeddings/Microsoft_Word_Document1.docx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urray@rsa.contractors" TargetMode="External"/><Relationship Id="rId6" Type="http://schemas.openxmlformats.org/officeDocument/2006/relationships/image" Target="../media/image1.emf"/><Relationship Id="rId5" Type="http://schemas.openxmlformats.org/officeDocument/2006/relationships/package" Target="../embeddings/Microsoft_Word_Document.docx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9C56-3036-4568-92E9-1197BC19AEAB}">
  <sheetPr codeName="Sheet1">
    <tabColor indexed="11"/>
  </sheetPr>
  <dimension ref="A1:AE304"/>
  <sheetViews>
    <sheetView tabSelected="1" zoomScale="85" zoomScaleNormal="85" workbookViewId="0">
      <selection activeCell="H302" sqref="H302"/>
    </sheetView>
  </sheetViews>
  <sheetFormatPr defaultColWidth="9.140625" defaultRowHeight="16.5" x14ac:dyDescent="0.3"/>
  <cols>
    <col min="1" max="1" width="14.85546875" style="146" bestFit="1" customWidth="1"/>
    <col min="2" max="2" width="36.85546875" style="146" customWidth="1"/>
    <col min="3" max="3" width="15.28515625" style="147" customWidth="1"/>
    <col min="4" max="4" width="12.7109375" style="147" customWidth="1"/>
    <col min="5" max="5" width="17.85546875" style="147" customWidth="1"/>
    <col min="6" max="6" width="20.7109375" style="147" customWidth="1"/>
    <col min="7" max="7" width="15.42578125" style="147" customWidth="1"/>
    <col min="8" max="8" width="57.28515625" style="148" customWidth="1"/>
    <col min="9" max="9" width="88.28515625" style="148" customWidth="1"/>
    <col min="10" max="10" width="53.7109375" style="148" customWidth="1"/>
    <col min="11" max="11" width="61.140625" style="148" customWidth="1"/>
    <col min="12" max="12" width="18.42578125" style="147" customWidth="1"/>
    <col min="13" max="14" width="16" style="147" customWidth="1"/>
    <col min="15" max="15" width="5.140625" style="147" customWidth="1"/>
    <col min="16" max="16" width="4" style="147" customWidth="1"/>
    <col min="17" max="17" width="3.28515625" style="147" customWidth="1"/>
    <col min="18" max="18" width="4.28515625" style="147" customWidth="1"/>
    <col min="19" max="19" width="4.42578125" style="147" customWidth="1"/>
    <col min="20" max="20" width="3.85546875" style="147" customWidth="1"/>
    <col min="21" max="21" width="7.140625" style="147" customWidth="1"/>
    <col min="22" max="22" width="4.42578125" style="147" customWidth="1"/>
    <col min="23" max="23" width="4.28515625" style="147" customWidth="1"/>
    <col min="24" max="24" width="4.7109375" style="147" customWidth="1"/>
    <col min="25" max="25" width="5.42578125" style="147" customWidth="1"/>
    <col min="26" max="26" width="7.42578125" style="147" customWidth="1"/>
    <col min="27" max="27" width="10.42578125" style="147" customWidth="1"/>
    <col min="28" max="28" width="9.85546875" style="147" customWidth="1"/>
    <col min="29" max="29" width="47.28515625" style="148" customWidth="1"/>
    <col min="30" max="30" width="34.7109375" style="148" customWidth="1"/>
    <col min="31" max="31" width="32.140625" style="147" customWidth="1"/>
    <col min="32" max="16384" width="9.140625" style="148"/>
  </cols>
  <sheetData>
    <row r="1" spans="1:31" s="122" customFormat="1" ht="45" customHeight="1" thickBot="1" x14ac:dyDescent="0.55000000000000004">
      <c r="A1" s="119" t="s">
        <v>1919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1"/>
    </row>
    <row r="2" spans="1:31" s="132" customFormat="1" ht="76.900000000000006" customHeight="1" thickBot="1" x14ac:dyDescent="0.45">
      <c r="A2" s="123" t="s">
        <v>1918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5"/>
      <c r="O2" s="126" t="s">
        <v>31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8"/>
      <c r="AC2" s="129"/>
      <c r="AD2" s="130"/>
      <c r="AE2" s="131"/>
    </row>
    <row r="3" spans="1:31" s="139" customFormat="1" ht="253.9" customHeight="1" x14ac:dyDescent="0.35">
      <c r="A3" s="133" t="s">
        <v>13</v>
      </c>
      <c r="B3" s="133" t="s">
        <v>11</v>
      </c>
      <c r="C3" s="133" t="s">
        <v>14</v>
      </c>
      <c r="D3" s="133" t="s">
        <v>15</v>
      </c>
      <c r="E3" s="133" t="s">
        <v>0</v>
      </c>
      <c r="F3" s="133" t="s">
        <v>12</v>
      </c>
      <c r="G3" s="133" t="s">
        <v>1</v>
      </c>
      <c r="H3" s="133" t="s">
        <v>2</v>
      </c>
      <c r="I3" s="133" t="s">
        <v>3</v>
      </c>
      <c r="J3" s="133" t="s">
        <v>16</v>
      </c>
      <c r="K3" s="133" t="s">
        <v>4</v>
      </c>
      <c r="L3" s="133" t="s">
        <v>5</v>
      </c>
      <c r="M3" s="133" t="s">
        <v>6</v>
      </c>
      <c r="N3" s="133" t="s">
        <v>17</v>
      </c>
      <c r="O3" s="134" t="s">
        <v>18</v>
      </c>
      <c r="P3" s="134" t="s">
        <v>29</v>
      </c>
      <c r="Q3" s="134" t="s">
        <v>7</v>
      </c>
      <c r="R3" s="135" t="s">
        <v>19</v>
      </c>
      <c r="S3" s="135" t="s">
        <v>20</v>
      </c>
      <c r="T3" s="134" t="s">
        <v>21</v>
      </c>
      <c r="U3" s="134" t="s">
        <v>30</v>
      </c>
      <c r="V3" s="134" t="s">
        <v>8</v>
      </c>
      <c r="W3" s="134" t="s">
        <v>22</v>
      </c>
      <c r="X3" s="136" t="s">
        <v>23</v>
      </c>
      <c r="Y3" s="137" t="s">
        <v>24</v>
      </c>
      <c r="Z3" s="134" t="s">
        <v>25</v>
      </c>
      <c r="AA3" s="135" t="s">
        <v>26</v>
      </c>
      <c r="AB3" s="135" t="s">
        <v>27</v>
      </c>
      <c r="AC3" s="138" t="s">
        <v>9</v>
      </c>
      <c r="AD3" s="133" t="s">
        <v>10</v>
      </c>
      <c r="AE3" s="133" t="s">
        <v>28</v>
      </c>
    </row>
    <row r="4" spans="1:31" s="140" customFormat="1" ht="66" x14ac:dyDescent="0.3">
      <c r="A4" s="1">
        <v>1</v>
      </c>
      <c r="B4" s="2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4">
        <v>46127</v>
      </c>
      <c r="H4" s="2" t="s">
        <v>37</v>
      </c>
      <c r="I4" s="2" t="s">
        <v>38</v>
      </c>
      <c r="J4" s="2" t="s">
        <v>39</v>
      </c>
      <c r="K4" s="2" t="s">
        <v>40</v>
      </c>
      <c r="L4" s="5">
        <v>-19.961475261650001</v>
      </c>
      <c r="M4" s="5">
        <v>148.10669710460999</v>
      </c>
      <c r="N4" s="3"/>
      <c r="O4" s="3" t="s">
        <v>41</v>
      </c>
      <c r="P4" s="3"/>
      <c r="Q4" s="3" t="s">
        <v>42</v>
      </c>
      <c r="R4" s="3"/>
      <c r="S4" s="3" t="s">
        <v>41</v>
      </c>
      <c r="T4" s="3" t="s">
        <v>41</v>
      </c>
      <c r="U4" s="3" t="s">
        <v>41</v>
      </c>
      <c r="V4" s="3" t="s">
        <v>43</v>
      </c>
      <c r="W4" s="3" t="s">
        <v>44</v>
      </c>
      <c r="X4" s="6" t="s">
        <v>44</v>
      </c>
      <c r="Y4" s="7"/>
      <c r="Z4" s="7"/>
      <c r="AA4" s="7"/>
      <c r="AB4" s="7"/>
      <c r="AC4" s="8" t="s">
        <v>45</v>
      </c>
      <c r="AD4" s="2" t="s">
        <v>46</v>
      </c>
      <c r="AE4" s="9" t="str">
        <f t="shared" ref="AE4:AE67" si="0">HYPERLINK("https://maps.google.com/?q="&amp;L4&amp;","&amp;M4,"Open in Google Maps")</f>
        <v>Open in Google Maps</v>
      </c>
    </row>
    <row r="5" spans="1:31" s="140" customFormat="1" ht="34.15" customHeight="1" x14ac:dyDescent="0.3">
      <c r="A5" s="1">
        <v>2</v>
      </c>
      <c r="B5" s="2" t="s">
        <v>47</v>
      </c>
      <c r="C5" s="3" t="s">
        <v>48</v>
      </c>
      <c r="D5" s="3" t="s">
        <v>49</v>
      </c>
      <c r="E5" s="3" t="s">
        <v>35</v>
      </c>
      <c r="F5" s="3" t="s">
        <v>36</v>
      </c>
      <c r="G5" s="4">
        <v>46648</v>
      </c>
      <c r="H5" s="2" t="s">
        <v>50</v>
      </c>
      <c r="I5" s="2" t="s">
        <v>51</v>
      </c>
      <c r="J5" s="10" t="s">
        <v>52</v>
      </c>
      <c r="K5" s="2" t="s">
        <v>53</v>
      </c>
      <c r="L5" s="5">
        <v>-19.36</v>
      </c>
      <c r="M5" s="5">
        <v>147.05439999999999</v>
      </c>
      <c r="N5" s="3"/>
      <c r="O5" s="3"/>
      <c r="P5" s="3"/>
      <c r="Q5" s="3"/>
      <c r="R5" s="3"/>
      <c r="S5" s="3" t="s">
        <v>44</v>
      </c>
      <c r="T5" s="3" t="s">
        <v>44</v>
      </c>
      <c r="U5" s="3"/>
      <c r="V5" s="3"/>
      <c r="W5" s="3"/>
      <c r="X5" s="6"/>
      <c r="Y5" s="7"/>
      <c r="Z5" s="7"/>
      <c r="AA5" s="7"/>
      <c r="AB5" s="7"/>
      <c r="AC5" s="11" t="s">
        <v>54</v>
      </c>
      <c r="AD5" s="12" t="s">
        <v>55</v>
      </c>
      <c r="AE5" s="9" t="str">
        <f t="shared" si="0"/>
        <v>Open in Google Maps</v>
      </c>
    </row>
    <row r="6" spans="1:31" s="140" customFormat="1" x14ac:dyDescent="0.3">
      <c r="A6" s="1">
        <f t="shared" ref="A6:A69" si="1">A5+1</f>
        <v>3</v>
      </c>
      <c r="B6" s="2" t="s">
        <v>56</v>
      </c>
      <c r="C6" s="3" t="s">
        <v>57</v>
      </c>
      <c r="D6" s="3" t="s">
        <v>58</v>
      </c>
      <c r="E6" s="3" t="s">
        <v>35</v>
      </c>
      <c r="F6" s="13" t="s">
        <v>36</v>
      </c>
      <c r="G6" s="4">
        <v>46684</v>
      </c>
      <c r="H6" s="2" t="s">
        <v>59</v>
      </c>
      <c r="I6" s="2" t="s">
        <v>60</v>
      </c>
      <c r="J6" s="2" t="s">
        <v>52</v>
      </c>
      <c r="K6" s="2" t="s">
        <v>61</v>
      </c>
      <c r="L6" s="5">
        <v>-27.430720000000001</v>
      </c>
      <c r="M6" s="5">
        <v>152.64877000000001</v>
      </c>
      <c r="N6" s="14"/>
      <c r="O6" s="3" t="s">
        <v>41</v>
      </c>
      <c r="P6" s="3"/>
      <c r="Q6" s="3" t="s">
        <v>41</v>
      </c>
      <c r="R6" s="3" t="s">
        <v>44</v>
      </c>
      <c r="S6" s="3" t="s">
        <v>44</v>
      </c>
      <c r="T6" s="3" t="s">
        <v>44</v>
      </c>
      <c r="U6" s="3" t="s">
        <v>41</v>
      </c>
      <c r="V6" s="3"/>
      <c r="W6" s="3"/>
      <c r="X6" s="6"/>
      <c r="Y6" s="7"/>
      <c r="Z6" s="7"/>
      <c r="AA6" s="7"/>
      <c r="AB6" s="7"/>
      <c r="AC6" s="8" t="s">
        <v>62</v>
      </c>
      <c r="AD6" s="2" t="s">
        <v>63</v>
      </c>
      <c r="AE6" s="9" t="str">
        <f t="shared" si="0"/>
        <v>Open in Google Maps</v>
      </c>
    </row>
    <row r="7" spans="1:31" s="140" customFormat="1" ht="66" x14ac:dyDescent="0.3">
      <c r="A7" s="1">
        <f t="shared" si="1"/>
        <v>4</v>
      </c>
      <c r="B7" s="15" t="s">
        <v>64</v>
      </c>
      <c r="C7" s="16" t="s">
        <v>65</v>
      </c>
      <c r="D7" s="16" t="s">
        <v>66</v>
      </c>
      <c r="E7" s="16" t="s">
        <v>35</v>
      </c>
      <c r="F7" s="3" t="s">
        <v>36</v>
      </c>
      <c r="G7" s="17">
        <v>46345</v>
      </c>
      <c r="H7" s="15" t="s">
        <v>67</v>
      </c>
      <c r="I7" s="15" t="s">
        <v>68</v>
      </c>
      <c r="J7" s="18" t="s">
        <v>69</v>
      </c>
      <c r="K7" s="15" t="s">
        <v>61</v>
      </c>
      <c r="L7" s="19">
        <v>-26.256774</v>
      </c>
      <c r="M7" s="19">
        <v>152.068827</v>
      </c>
      <c r="N7" s="16"/>
      <c r="O7" s="16" t="s">
        <v>44</v>
      </c>
      <c r="P7" s="16"/>
      <c r="Q7" s="16" t="s">
        <v>42</v>
      </c>
      <c r="R7" s="16" t="s">
        <v>44</v>
      </c>
      <c r="S7" s="16" t="s">
        <v>44</v>
      </c>
      <c r="T7" s="16" t="s">
        <v>44</v>
      </c>
      <c r="U7" s="16" t="s">
        <v>41</v>
      </c>
      <c r="V7" s="16" t="s">
        <v>70</v>
      </c>
      <c r="W7" s="16"/>
      <c r="X7" s="20"/>
      <c r="Y7" s="7"/>
      <c r="Z7" s="7"/>
      <c r="AA7" s="16"/>
      <c r="AB7" s="16"/>
      <c r="AC7" s="21" t="s">
        <v>71</v>
      </c>
      <c r="AD7" s="22" t="s">
        <v>63</v>
      </c>
      <c r="AE7" s="9" t="str">
        <f t="shared" si="0"/>
        <v>Open in Google Maps</v>
      </c>
    </row>
    <row r="8" spans="1:31" s="141" customFormat="1" ht="66" x14ac:dyDescent="0.3">
      <c r="A8" s="1">
        <f t="shared" si="1"/>
        <v>5</v>
      </c>
      <c r="B8" s="23" t="s">
        <v>72</v>
      </c>
      <c r="C8" s="13" t="s">
        <v>73</v>
      </c>
      <c r="D8" s="13" t="s">
        <v>74</v>
      </c>
      <c r="E8" s="13" t="s">
        <v>35</v>
      </c>
      <c r="F8" s="13" t="s">
        <v>36</v>
      </c>
      <c r="G8" s="24">
        <v>46348</v>
      </c>
      <c r="H8" s="23" t="s">
        <v>75</v>
      </c>
      <c r="I8" s="23" t="s">
        <v>76</v>
      </c>
      <c r="J8" s="23" t="s">
        <v>77</v>
      </c>
      <c r="K8" s="23" t="s">
        <v>61</v>
      </c>
      <c r="L8" s="25">
        <v>-27.941244999999999</v>
      </c>
      <c r="M8" s="25">
        <v>152.56082699999999</v>
      </c>
      <c r="N8" s="13"/>
      <c r="O8" s="13" t="s">
        <v>44</v>
      </c>
      <c r="P8" s="13"/>
      <c r="Q8" s="13" t="s">
        <v>42</v>
      </c>
      <c r="R8" s="13" t="s">
        <v>44</v>
      </c>
      <c r="S8" s="13" t="s">
        <v>44</v>
      </c>
      <c r="T8" s="13" t="s">
        <v>44</v>
      </c>
      <c r="U8" s="13"/>
      <c r="V8" s="13" t="s">
        <v>70</v>
      </c>
      <c r="W8" s="13" t="s">
        <v>44</v>
      </c>
      <c r="X8" s="26" t="s">
        <v>44</v>
      </c>
      <c r="Y8" s="7"/>
      <c r="Z8" s="7"/>
      <c r="AA8" s="7"/>
      <c r="AB8" s="7"/>
      <c r="AC8" s="27" t="s">
        <v>78</v>
      </c>
      <c r="AD8" s="28" t="s">
        <v>63</v>
      </c>
      <c r="AE8" s="9" t="str">
        <f t="shared" si="0"/>
        <v>Open in Google Maps</v>
      </c>
    </row>
    <row r="9" spans="1:31" s="140" customFormat="1" ht="34.15" customHeight="1" x14ac:dyDescent="0.3">
      <c r="A9" s="1">
        <f t="shared" si="1"/>
        <v>6</v>
      </c>
      <c r="B9" s="23" t="s">
        <v>79</v>
      </c>
      <c r="C9" s="3" t="s">
        <v>80</v>
      </c>
      <c r="D9" s="3" t="s">
        <v>81</v>
      </c>
      <c r="E9" s="3" t="s">
        <v>35</v>
      </c>
      <c r="F9" s="3" t="s">
        <v>36</v>
      </c>
      <c r="G9" s="4">
        <v>46589</v>
      </c>
      <c r="H9" s="2" t="s">
        <v>82</v>
      </c>
      <c r="I9" s="2" t="s">
        <v>83</v>
      </c>
      <c r="J9" s="2" t="s">
        <v>52</v>
      </c>
      <c r="K9" s="2" t="s">
        <v>61</v>
      </c>
      <c r="L9" s="5">
        <v>-27.429234000000001</v>
      </c>
      <c r="M9" s="5">
        <v>153.117774</v>
      </c>
      <c r="N9" s="29"/>
      <c r="O9" s="29"/>
      <c r="P9" s="29"/>
      <c r="Q9" s="30"/>
      <c r="R9" s="29"/>
      <c r="S9" s="3" t="s">
        <v>44</v>
      </c>
      <c r="T9" s="3" t="s">
        <v>44</v>
      </c>
      <c r="U9" s="29"/>
      <c r="V9" s="29"/>
      <c r="W9" s="29"/>
      <c r="X9" s="31"/>
      <c r="Y9" s="29"/>
      <c r="Z9" s="29"/>
      <c r="AA9" s="29"/>
      <c r="AB9" s="29" t="s">
        <v>44</v>
      </c>
      <c r="AC9" s="27" t="s">
        <v>84</v>
      </c>
      <c r="AD9" s="28" t="s">
        <v>55</v>
      </c>
      <c r="AE9" s="9" t="str">
        <f t="shared" si="0"/>
        <v>Open in Google Maps</v>
      </c>
    </row>
    <row r="10" spans="1:31" s="140" customFormat="1" ht="66" x14ac:dyDescent="0.3">
      <c r="A10" s="1">
        <f t="shared" si="1"/>
        <v>7</v>
      </c>
      <c r="B10" s="15" t="s">
        <v>85</v>
      </c>
      <c r="C10" s="16" t="s">
        <v>86</v>
      </c>
      <c r="D10" s="16" t="s">
        <v>87</v>
      </c>
      <c r="E10" s="16" t="s">
        <v>35</v>
      </c>
      <c r="F10" s="16" t="s">
        <v>88</v>
      </c>
      <c r="G10" s="17">
        <v>46352</v>
      </c>
      <c r="H10" s="15" t="s">
        <v>67</v>
      </c>
      <c r="I10" s="15" t="s">
        <v>89</v>
      </c>
      <c r="J10" s="18" t="s">
        <v>69</v>
      </c>
      <c r="K10" s="15" t="s">
        <v>61</v>
      </c>
      <c r="L10" s="19">
        <v>-26.039023</v>
      </c>
      <c r="M10" s="19">
        <v>152.551355</v>
      </c>
      <c r="N10" s="16"/>
      <c r="O10" s="16" t="s">
        <v>44</v>
      </c>
      <c r="P10" s="16" t="s">
        <v>44</v>
      </c>
      <c r="Q10" s="16" t="s">
        <v>42</v>
      </c>
      <c r="R10" s="16" t="s">
        <v>44</v>
      </c>
      <c r="S10" s="16" t="s">
        <v>44</v>
      </c>
      <c r="T10" s="16" t="s">
        <v>44</v>
      </c>
      <c r="U10" s="16"/>
      <c r="V10" s="16" t="s">
        <v>70</v>
      </c>
      <c r="W10" s="16" t="s">
        <v>44</v>
      </c>
      <c r="X10" s="20" t="s">
        <v>44</v>
      </c>
      <c r="Y10" s="16" t="s">
        <v>44</v>
      </c>
      <c r="Z10" s="16"/>
      <c r="AA10" s="16" t="s">
        <v>44</v>
      </c>
      <c r="AB10" s="16" t="s">
        <v>44</v>
      </c>
      <c r="AC10" s="21" t="s">
        <v>90</v>
      </c>
      <c r="AD10" s="22" t="s">
        <v>63</v>
      </c>
      <c r="AE10" s="9" t="str">
        <f t="shared" si="0"/>
        <v>Open in Google Maps</v>
      </c>
    </row>
    <row r="11" spans="1:31" s="140" customFormat="1" ht="33" x14ac:dyDescent="0.3">
      <c r="A11" s="1">
        <f t="shared" si="1"/>
        <v>8</v>
      </c>
      <c r="B11" s="23" t="s">
        <v>91</v>
      </c>
      <c r="C11" s="3" t="s">
        <v>92</v>
      </c>
      <c r="D11" s="3" t="s">
        <v>93</v>
      </c>
      <c r="E11" s="3" t="s">
        <v>35</v>
      </c>
      <c r="F11" s="3" t="s">
        <v>36</v>
      </c>
      <c r="G11" s="4">
        <v>46295</v>
      </c>
      <c r="H11" s="2" t="s">
        <v>82</v>
      </c>
      <c r="I11" s="2" t="s">
        <v>94</v>
      </c>
      <c r="J11" s="2" t="s">
        <v>95</v>
      </c>
      <c r="K11" s="2" t="s">
        <v>96</v>
      </c>
      <c r="L11" s="5">
        <v>-27.574593</v>
      </c>
      <c r="M11" s="5">
        <v>152.999549</v>
      </c>
      <c r="N11" s="3" t="s">
        <v>44</v>
      </c>
      <c r="O11" s="3"/>
      <c r="P11" s="3"/>
      <c r="Q11" s="3"/>
      <c r="R11" s="3"/>
      <c r="S11" s="3"/>
      <c r="T11" s="3"/>
      <c r="U11" s="3"/>
      <c r="V11" s="3" t="s">
        <v>97</v>
      </c>
      <c r="W11" s="3"/>
      <c r="X11" s="6"/>
      <c r="Y11" s="7"/>
      <c r="Z11" s="7"/>
      <c r="AA11" s="7"/>
      <c r="AB11" s="7"/>
      <c r="AC11" s="11" t="s">
        <v>98</v>
      </c>
      <c r="AD11" s="12" t="s">
        <v>99</v>
      </c>
      <c r="AE11" s="9" t="str">
        <f t="shared" si="0"/>
        <v>Open in Google Maps</v>
      </c>
    </row>
    <row r="12" spans="1:31" s="140" customFormat="1" ht="33" x14ac:dyDescent="0.3">
      <c r="A12" s="1">
        <f t="shared" si="1"/>
        <v>9</v>
      </c>
      <c r="B12" s="23" t="s">
        <v>100</v>
      </c>
      <c r="C12" s="3" t="s">
        <v>101</v>
      </c>
      <c r="D12" s="3" t="s">
        <v>102</v>
      </c>
      <c r="E12" s="3" t="s">
        <v>35</v>
      </c>
      <c r="F12" s="3" t="s">
        <v>36</v>
      </c>
      <c r="G12" s="4">
        <v>46295</v>
      </c>
      <c r="H12" s="2" t="s">
        <v>82</v>
      </c>
      <c r="I12" s="2" t="s">
        <v>103</v>
      </c>
      <c r="J12" s="2" t="s">
        <v>104</v>
      </c>
      <c r="K12" s="2" t="s">
        <v>96</v>
      </c>
      <c r="L12" s="5">
        <v>-27.365489</v>
      </c>
      <c r="M12" s="5">
        <v>153.10130699999999</v>
      </c>
      <c r="N12" s="3" t="s">
        <v>44</v>
      </c>
      <c r="O12" s="3"/>
      <c r="P12" s="3"/>
      <c r="Q12" s="3"/>
      <c r="R12" s="3"/>
      <c r="S12" s="3"/>
      <c r="T12" s="3"/>
      <c r="U12" s="3"/>
      <c r="V12" s="3" t="s">
        <v>97</v>
      </c>
      <c r="W12" s="3"/>
      <c r="X12" s="6"/>
      <c r="Y12" s="7"/>
      <c r="Z12" s="7"/>
      <c r="AA12" s="7"/>
      <c r="AB12" s="7"/>
      <c r="AC12" s="11" t="s">
        <v>98</v>
      </c>
      <c r="AD12" s="12" t="s">
        <v>99</v>
      </c>
      <c r="AE12" s="9" t="str">
        <f t="shared" si="0"/>
        <v>Open in Google Maps</v>
      </c>
    </row>
    <row r="13" spans="1:31" s="141" customFormat="1" ht="66" x14ac:dyDescent="0.3">
      <c r="A13" s="1">
        <f t="shared" si="1"/>
        <v>10</v>
      </c>
      <c r="B13" s="32" t="s">
        <v>105</v>
      </c>
      <c r="C13" s="1" t="s">
        <v>106</v>
      </c>
      <c r="D13" s="1" t="s">
        <v>107</v>
      </c>
      <c r="E13" s="1" t="s">
        <v>35</v>
      </c>
      <c r="F13" s="1" t="s">
        <v>36</v>
      </c>
      <c r="G13" s="33">
        <v>46715</v>
      </c>
      <c r="H13" s="32" t="s">
        <v>108</v>
      </c>
      <c r="I13" s="32" t="s">
        <v>109</v>
      </c>
      <c r="J13" s="32" t="s">
        <v>110</v>
      </c>
      <c r="K13" s="32" t="s">
        <v>111</v>
      </c>
      <c r="L13" s="34">
        <v>-26.500223999999999</v>
      </c>
      <c r="M13" s="35">
        <v>148.13532000000001</v>
      </c>
      <c r="N13" s="1"/>
      <c r="O13" s="1" t="s">
        <v>44</v>
      </c>
      <c r="P13" s="1"/>
      <c r="Q13" s="1" t="s">
        <v>42</v>
      </c>
      <c r="R13" s="1" t="s">
        <v>44</v>
      </c>
      <c r="S13" s="1" t="s">
        <v>44</v>
      </c>
      <c r="T13" s="1" t="s">
        <v>44</v>
      </c>
      <c r="U13" s="1" t="s">
        <v>41</v>
      </c>
      <c r="V13" s="1" t="s">
        <v>70</v>
      </c>
      <c r="W13" s="1" t="s">
        <v>44</v>
      </c>
      <c r="X13" s="36" t="s">
        <v>44</v>
      </c>
      <c r="Y13" s="7"/>
      <c r="Z13" s="7"/>
      <c r="AA13" s="7"/>
      <c r="AB13" s="7"/>
      <c r="AC13" s="37" t="s">
        <v>112</v>
      </c>
      <c r="AD13" s="38" t="s">
        <v>113</v>
      </c>
      <c r="AE13" s="9" t="str">
        <f t="shared" si="0"/>
        <v>Open in Google Maps</v>
      </c>
    </row>
    <row r="14" spans="1:31" s="140" customFormat="1" ht="99" x14ac:dyDescent="0.3">
      <c r="A14" s="1">
        <f t="shared" si="1"/>
        <v>11</v>
      </c>
      <c r="B14" s="2" t="s">
        <v>114</v>
      </c>
      <c r="C14" s="3" t="s">
        <v>115</v>
      </c>
      <c r="D14" s="3" t="s">
        <v>116</v>
      </c>
      <c r="E14" s="3" t="s">
        <v>35</v>
      </c>
      <c r="F14" s="3" t="s">
        <v>117</v>
      </c>
      <c r="G14" s="4">
        <v>46116</v>
      </c>
      <c r="H14" s="2" t="s">
        <v>118</v>
      </c>
      <c r="I14" s="2" t="s">
        <v>119</v>
      </c>
      <c r="J14" s="2" t="s">
        <v>120</v>
      </c>
      <c r="K14" s="2" t="s">
        <v>121</v>
      </c>
      <c r="L14" s="5">
        <v>-28.480029999999999</v>
      </c>
      <c r="M14" s="5">
        <v>150.71575000000001</v>
      </c>
      <c r="N14" s="3"/>
      <c r="O14" s="3"/>
      <c r="P14" s="3"/>
      <c r="Q14" s="3"/>
      <c r="R14" s="3"/>
      <c r="S14" s="3"/>
      <c r="T14" s="3"/>
      <c r="U14" s="3"/>
      <c r="V14" s="3" t="s">
        <v>122</v>
      </c>
      <c r="W14" s="3"/>
      <c r="X14" s="6"/>
      <c r="Y14" s="7"/>
      <c r="Z14" s="7"/>
      <c r="AA14" s="7"/>
      <c r="AB14" s="7"/>
      <c r="AC14" s="8" t="s">
        <v>123</v>
      </c>
      <c r="AD14" s="2" t="s">
        <v>124</v>
      </c>
      <c r="AE14" s="9" t="str">
        <f t="shared" si="0"/>
        <v>Open in Google Maps</v>
      </c>
    </row>
    <row r="15" spans="1:31" s="140" customFormat="1" ht="47.45" customHeight="1" x14ac:dyDescent="0.3">
      <c r="A15" s="1">
        <f t="shared" si="1"/>
        <v>12</v>
      </c>
      <c r="B15" s="23" t="s">
        <v>125</v>
      </c>
      <c r="C15" s="3" t="s">
        <v>126</v>
      </c>
      <c r="D15" s="3" t="s">
        <v>127</v>
      </c>
      <c r="E15" s="3" t="s">
        <v>35</v>
      </c>
      <c r="F15" s="3" t="s">
        <v>36</v>
      </c>
      <c r="G15" s="4">
        <v>46516</v>
      </c>
      <c r="H15" s="2" t="s">
        <v>128</v>
      </c>
      <c r="I15" s="2" t="s">
        <v>129</v>
      </c>
      <c r="J15" s="2" t="s">
        <v>130</v>
      </c>
      <c r="K15" s="2" t="s">
        <v>129</v>
      </c>
      <c r="L15" s="5">
        <v>-27.527090000000001</v>
      </c>
      <c r="M15" s="5">
        <v>152.14100199999999</v>
      </c>
      <c r="N15" s="39"/>
      <c r="O15" s="39"/>
      <c r="P15" s="39"/>
      <c r="Q15" s="39"/>
      <c r="R15" s="3"/>
      <c r="S15" s="3" t="s">
        <v>44</v>
      </c>
      <c r="T15" s="3" t="s">
        <v>44</v>
      </c>
      <c r="U15" s="3"/>
      <c r="V15" s="3"/>
      <c r="W15" s="3"/>
      <c r="X15" s="6"/>
      <c r="Y15" s="7"/>
      <c r="Z15" s="7"/>
      <c r="AA15" s="3" t="s">
        <v>44</v>
      </c>
      <c r="AB15" s="3" t="s">
        <v>44</v>
      </c>
      <c r="AC15" s="11" t="s">
        <v>131</v>
      </c>
      <c r="AD15" s="12" t="s">
        <v>55</v>
      </c>
      <c r="AE15" s="9" t="str">
        <f t="shared" si="0"/>
        <v>Open in Google Maps</v>
      </c>
    </row>
    <row r="16" spans="1:31" s="140" customFormat="1" ht="99" x14ac:dyDescent="0.3">
      <c r="A16" s="1">
        <f t="shared" si="1"/>
        <v>13</v>
      </c>
      <c r="B16" s="23" t="s">
        <v>132</v>
      </c>
      <c r="C16" s="13" t="s">
        <v>133</v>
      </c>
      <c r="D16" s="13" t="s">
        <v>134</v>
      </c>
      <c r="E16" s="13" t="s">
        <v>35</v>
      </c>
      <c r="F16" s="13" t="s">
        <v>117</v>
      </c>
      <c r="G16" s="24">
        <v>46138</v>
      </c>
      <c r="H16" s="23" t="s">
        <v>135</v>
      </c>
      <c r="I16" s="23" t="s">
        <v>136</v>
      </c>
      <c r="J16" s="23" t="s">
        <v>137</v>
      </c>
      <c r="K16" s="23" t="s">
        <v>138</v>
      </c>
      <c r="L16" s="25">
        <v>-21.979949999999999</v>
      </c>
      <c r="M16" s="25">
        <v>142.64723000000001</v>
      </c>
      <c r="N16" s="13"/>
      <c r="O16" s="13"/>
      <c r="P16" s="13"/>
      <c r="Q16" s="13"/>
      <c r="R16" s="13"/>
      <c r="S16" s="13"/>
      <c r="T16" s="13"/>
      <c r="U16" s="13"/>
      <c r="V16" s="13" t="s">
        <v>122</v>
      </c>
      <c r="W16" s="13"/>
      <c r="X16" s="26"/>
      <c r="Y16" s="40"/>
      <c r="Z16" s="40"/>
      <c r="AA16" s="7"/>
      <c r="AB16" s="7"/>
      <c r="AC16" s="27" t="s">
        <v>139</v>
      </c>
      <c r="AD16" s="28" t="s">
        <v>140</v>
      </c>
      <c r="AE16" s="9" t="str">
        <f t="shared" si="0"/>
        <v>Open in Google Maps</v>
      </c>
    </row>
    <row r="17" spans="1:31" s="140" customFormat="1" ht="33" x14ac:dyDescent="0.3">
      <c r="A17" s="1">
        <f>A16+1</f>
        <v>14</v>
      </c>
      <c r="B17" s="41" t="s">
        <v>141</v>
      </c>
      <c r="C17" s="42" t="s">
        <v>142</v>
      </c>
      <c r="D17" s="42" t="s">
        <v>143</v>
      </c>
      <c r="E17" s="42" t="s">
        <v>35</v>
      </c>
      <c r="F17" s="3" t="s">
        <v>144</v>
      </c>
      <c r="G17" s="43">
        <v>46149</v>
      </c>
      <c r="H17" s="41" t="s">
        <v>145</v>
      </c>
      <c r="I17" s="41" t="s">
        <v>146</v>
      </c>
      <c r="J17" s="41" t="s">
        <v>147</v>
      </c>
      <c r="K17" s="41" t="s">
        <v>148</v>
      </c>
      <c r="L17" s="44">
        <v>-21.210661000000002</v>
      </c>
      <c r="M17" s="44">
        <v>149.16568950000001</v>
      </c>
      <c r="N17" s="42"/>
      <c r="O17" s="42" t="s">
        <v>41</v>
      </c>
      <c r="P17" s="42"/>
      <c r="Q17" s="42" t="s">
        <v>41</v>
      </c>
      <c r="R17" s="42"/>
      <c r="S17" s="42" t="s">
        <v>44</v>
      </c>
      <c r="T17" s="42" t="s">
        <v>44</v>
      </c>
      <c r="U17" s="42" t="s">
        <v>41</v>
      </c>
      <c r="V17" s="42" t="s">
        <v>149</v>
      </c>
      <c r="W17" s="42"/>
      <c r="X17" s="45"/>
      <c r="Y17" s="7"/>
      <c r="Z17" s="7"/>
      <c r="AA17" s="7"/>
      <c r="AB17" s="7"/>
      <c r="AC17" s="46" t="s">
        <v>150</v>
      </c>
      <c r="AD17" s="47" t="s">
        <v>55</v>
      </c>
      <c r="AE17" s="9" t="str">
        <f t="shared" si="0"/>
        <v>Open in Google Maps</v>
      </c>
    </row>
    <row r="18" spans="1:31" s="141" customFormat="1" ht="39.6" customHeight="1" x14ac:dyDescent="0.3">
      <c r="A18" s="1">
        <f t="shared" si="1"/>
        <v>15</v>
      </c>
      <c r="B18" s="2" t="s">
        <v>151</v>
      </c>
      <c r="C18" s="3" t="s">
        <v>152</v>
      </c>
      <c r="D18" s="3" t="s">
        <v>153</v>
      </c>
      <c r="E18" s="3" t="s">
        <v>35</v>
      </c>
      <c r="F18" s="3" t="s">
        <v>36</v>
      </c>
      <c r="G18" s="4">
        <v>46200</v>
      </c>
      <c r="H18" s="2" t="s">
        <v>154</v>
      </c>
      <c r="I18" s="2" t="s">
        <v>155</v>
      </c>
      <c r="J18" s="2" t="s">
        <v>156</v>
      </c>
      <c r="K18" s="2" t="s">
        <v>157</v>
      </c>
      <c r="L18" s="5">
        <v>-25.010228999999999</v>
      </c>
      <c r="M18" s="5">
        <v>150.828821</v>
      </c>
      <c r="N18" s="14"/>
      <c r="O18" s="3"/>
      <c r="P18" s="3"/>
      <c r="Q18" s="3"/>
      <c r="R18" s="3"/>
      <c r="S18" s="3" t="s">
        <v>44</v>
      </c>
      <c r="T18" s="3" t="s">
        <v>44</v>
      </c>
      <c r="U18" s="3"/>
      <c r="V18" s="3"/>
      <c r="W18" s="3"/>
      <c r="X18" s="6"/>
      <c r="Y18" s="7"/>
      <c r="Z18" s="7"/>
      <c r="AA18" s="7"/>
      <c r="AB18" s="7"/>
      <c r="AC18" s="11" t="s">
        <v>158</v>
      </c>
      <c r="AD18" s="12" t="s">
        <v>55</v>
      </c>
      <c r="AE18" s="9" t="str">
        <f t="shared" si="0"/>
        <v>Open in Google Maps</v>
      </c>
    </row>
    <row r="19" spans="1:31" s="141" customFormat="1" ht="66" x14ac:dyDescent="0.3">
      <c r="A19" s="1">
        <f t="shared" si="1"/>
        <v>16</v>
      </c>
      <c r="B19" s="2" t="s">
        <v>159</v>
      </c>
      <c r="C19" s="3" t="s">
        <v>160</v>
      </c>
      <c r="D19" s="3" t="s">
        <v>161</v>
      </c>
      <c r="E19" s="3" t="s">
        <v>35</v>
      </c>
      <c r="F19" s="3" t="s">
        <v>36</v>
      </c>
      <c r="G19" s="4">
        <v>46442</v>
      </c>
      <c r="H19" s="2" t="s">
        <v>162</v>
      </c>
      <c r="I19" s="2" t="s">
        <v>163</v>
      </c>
      <c r="J19" s="2" t="s">
        <v>164</v>
      </c>
      <c r="K19" s="2" t="s">
        <v>163</v>
      </c>
      <c r="L19" s="48">
        <v>-20.787800000000001</v>
      </c>
      <c r="M19" s="5">
        <v>143.44919999999999</v>
      </c>
      <c r="N19" s="14"/>
      <c r="O19" s="3" t="s">
        <v>41</v>
      </c>
      <c r="P19" s="3"/>
      <c r="Q19" s="3" t="s">
        <v>42</v>
      </c>
      <c r="R19" s="3" t="s">
        <v>44</v>
      </c>
      <c r="S19" s="3" t="s">
        <v>41</v>
      </c>
      <c r="T19" s="3"/>
      <c r="U19" s="3" t="s">
        <v>41</v>
      </c>
      <c r="V19" s="3" t="s">
        <v>70</v>
      </c>
      <c r="W19" s="3"/>
      <c r="X19" s="6"/>
      <c r="Y19" s="7"/>
      <c r="Z19" s="7"/>
      <c r="AA19" s="7"/>
      <c r="AB19" s="7"/>
      <c r="AC19" s="11" t="s">
        <v>165</v>
      </c>
      <c r="AD19" s="12" t="s">
        <v>113</v>
      </c>
      <c r="AE19" s="9" t="str">
        <f t="shared" si="0"/>
        <v>Open in Google Maps</v>
      </c>
    </row>
    <row r="20" spans="1:31" s="140" customFormat="1" ht="33" x14ac:dyDescent="0.3">
      <c r="A20" s="1">
        <f t="shared" si="1"/>
        <v>17</v>
      </c>
      <c r="B20" s="23" t="s">
        <v>166</v>
      </c>
      <c r="C20" s="13" t="s">
        <v>167</v>
      </c>
      <c r="D20" s="13" t="s">
        <v>168</v>
      </c>
      <c r="E20" s="13" t="s">
        <v>35</v>
      </c>
      <c r="F20" s="13" t="s">
        <v>36</v>
      </c>
      <c r="G20" s="24">
        <v>46535</v>
      </c>
      <c r="H20" s="23" t="s">
        <v>169</v>
      </c>
      <c r="I20" s="23" t="s">
        <v>170</v>
      </c>
      <c r="J20" s="23" t="s">
        <v>171</v>
      </c>
      <c r="K20" s="23" t="s">
        <v>172</v>
      </c>
      <c r="L20" s="25">
        <v>-20.7319</v>
      </c>
      <c r="M20" s="25">
        <v>143.4024</v>
      </c>
      <c r="N20" s="13"/>
      <c r="O20" s="13"/>
      <c r="P20" s="13"/>
      <c r="Q20" s="13"/>
      <c r="R20" s="13"/>
      <c r="S20" s="13"/>
      <c r="T20" s="13"/>
      <c r="U20" s="13"/>
      <c r="V20" s="13" t="s">
        <v>70</v>
      </c>
      <c r="W20" s="13" t="s">
        <v>44</v>
      </c>
      <c r="X20" s="26" t="s">
        <v>44</v>
      </c>
      <c r="Y20" s="7"/>
      <c r="Z20" s="7"/>
      <c r="AA20" s="7"/>
      <c r="AB20" s="7"/>
      <c r="AC20" s="27" t="s">
        <v>165</v>
      </c>
      <c r="AD20" s="28" t="s">
        <v>113</v>
      </c>
      <c r="AE20" s="9" t="str">
        <f t="shared" si="0"/>
        <v>Open in Google Maps</v>
      </c>
    </row>
    <row r="21" spans="1:31" s="140" customFormat="1" ht="33" x14ac:dyDescent="0.3">
      <c r="A21" s="1">
        <f t="shared" si="1"/>
        <v>18</v>
      </c>
      <c r="B21" s="23" t="s">
        <v>173</v>
      </c>
      <c r="C21" s="13" t="s">
        <v>174</v>
      </c>
      <c r="D21" s="13" t="s">
        <v>175</v>
      </c>
      <c r="E21" s="13" t="s">
        <v>35</v>
      </c>
      <c r="F21" s="13" t="s">
        <v>117</v>
      </c>
      <c r="G21" s="24">
        <v>46541</v>
      </c>
      <c r="H21" s="23" t="s">
        <v>169</v>
      </c>
      <c r="I21" s="23" t="s">
        <v>170</v>
      </c>
      <c r="J21" s="23" t="s">
        <v>171</v>
      </c>
      <c r="K21" s="23" t="s">
        <v>172</v>
      </c>
      <c r="L21" s="25">
        <v>-20.715779999999999</v>
      </c>
      <c r="M21" s="25">
        <v>143.330983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26"/>
      <c r="Y21" s="13"/>
      <c r="Z21" s="13" t="s">
        <v>44</v>
      </c>
      <c r="AA21" s="7"/>
      <c r="AB21" s="7"/>
      <c r="AC21" s="27" t="s">
        <v>176</v>
      </c>
      <c r="AD21" s="28" t="s">
        <v>177</v>
      </c>
      <c r="AE21" s="9" t="str">
        <f t="shared" si="0"/>
        <v>Open in Google Maps</v>
      </c>
    </row>
    <row r="22" spans="1:31" s="140" customFormat="1" ht="66" x14ac:dyDescent="0.3">
      <c r="A22" s="1">
        <f t="shared" si="1"/>
        <v>19</v>
      </c>
      <c r="B22" s="2" t="s">
        <v>178</v>
      </c>
      <c r="C22" s="3" t="s">
        <v>179</v>
      </c>
      <c r="D22" s="3" t="s">
        <v>180</v>
      </c>
      <c r="E22" s="3" t="s">
        <v>35</v>
      </c>
      <c r="F22" s="13" t="s">
        <v>36</v>
      </c>
      <c r="G22" s="4">
        <v>46135</v>
      </c>
      <c r="H22" s="2" t="s">
        <v>181</v>
      </c>
      <c r="I22" s="2" t="s">
        <v>182</v>
      </c>
      <c r="J22" s="2" t="s">
        <v>183</v>
      </c>
      <c r="K22" s="2" t="s">
        <v>184</v>
      </c>
      <c r="L22" s="5">
        <v>-24.580770000000001</v>
      </c>
      <c r="M22" s="5">
        <v>149.26271</v>
      </c>
      <c r="N22" s="3"/>
      <c r="O22" s="3" t="s">
        <v>41</v>
      </c>
      <c r="P22" s="3"/>
      <c r="Q22" s="3" t="s">
        <v>42</v>
      </c>
      <c r="R22" s="3"/>
      <c r="S22" s="3" t="s">
        <v>41</v>
      </c>
      <c r="T22" s="3" t="s">
        <v>41</v>
      </c>
      <c r="U22" s="3" t="s">
        <v>41</v>
      </c>
      <c r="V22" s="3" t="s">
        <v>70</v>
      </c>
      <c r="W22" s="3"/>
      <c r="X22" s="6"/>
      <c r="Y22" s="7"/>
      <c r="Z22" s="7"/>
      <c r="AA22" s="7"/>
      <c r="AB22" s="7"/>
      <c r="AC22" s="8" t="s">
        <v>165</v>
      </c>
      <c r="AD22" s="2" t="s">
        <v>113</v>
      </c>
      <c r="AE22" s="9" t="str">
        <f t="shared" si="0"/>
        <v>Open in Google Maps</v>
      </c>
    </row>
    <row r="23" spans="1:31" s="140" customFormat="1" ht="34.15" customHeight="1" x14ac:dyDescent="0.3">
      <c r="A23" s="1">
        <f t="shared" si="1"/>
        <v>20</v>
      </c>
      <c r="B23" s="2" t="s">
        <v>185</v>
      </c>
      <c r="C23" s="3" t="s">
        <v>186</v>
      </c>
      <c r="D23" s="3" t="s">
        <v>187</v>
      </c>
      <c r="E23" s="3" t="s">
        <v>35</v>
      </c>
      <c r="F23" s="3" t="s">
        <v>144</v>
      </c>
      <c r="G23" s="4">
        <v>46323</v>
      </c>
      <c r="H23" s="2" t="s">
        <v>188</v>
      </c>
      <c r="I23" s="2" t="s">
        <v>189</v>
      </c>
      <c r="J23" s="2" t="s">
        <v>185</v>
      </c>
      <c r="K23" s="2" t="s">
        <v>190</v>
      </c>
      <c r="L23" s="5">
        <v>-25.474834999999999</v>
      </c>
      <c r="M23" s="5">
        <v>152.72992500000001</v>
      </c>
      <c r="N23" s="3"/>
      <c r="O23" s="3" t="s">
        <v>41</v>
      </c>
      <c r="P23" s="3"/>
      <c r="Q23" s="3" t="s">
        <v>41</v>
      </c>
      <c r="R23" s="3"/>
      <c r="S23" s="3" t="s">
        <v>44</v>
      </c>
      <c r="T23" s="3" t="s">
        <v>44</v>
      </c>
      <c r="U23" s="3" t="s">
        <v>41</v>
      </c>
      <c r="V23" s="3" t="s">
        <v>149</v>
      </c>
      <c r="W23" s="3"/>
      <c r="X23" s="6"/>
      <c r="Y23" s="7"/>
      <c r="Z23" s="7"/>
      <c r="AA23" s="7"/>
      <c r="AB23" s="7"/>
      <c r="AC23" s="11" t="s">
        <v>191</v>
      </c>
      <c r="AD23" s="12" t="s">
        <v>55</v>
      </c>
      <c r="AE23" s="9" t="str">
        <f t="shared" si="0"/>
        <v>Open in Google Maps</v>
      </c>
    </row>
    <row r="24" spans="1:31" s="140" customFormat="1" ht="66" x14ac:dyDescent="0.3">
      <c r="A24" s="1">
        <f t="shared" si="1"/>
        <v>21</v>
      </c>
      <c r="B24" s="49" t="s">
        <v>192</v>
      </c>
      <c r="C24" s="50" t="s">
        <v>193</v>
      </c>
      <c r="D24" s="50" t="s">
        <v>194</v>
      </c>
      <c r="E24" s="50" t="s">
        <v>35</v>
      </c>
      <c r="F24" s="16" t="s">
        <v>36</v>
      </c>
      <c r="G24" s="51">
        <v>46692</v>
      </c>
      <c r="H24" s="49" t="s">
        <v>195</v>
      </c>
      <c r="I24" s="49" t="s">
        <v>196</v>
      </c>
      <c r="J24" s="49" t="s">
        <v>197</v>
      </c>
      <c r="K24" s="49" t="s">
        <v>198</v>
      </c>
      <c r="L24" s="52">
        <v>-26.78978</v>
      </c>
      <c r="M24" s="53">
        <v>151.464809</v>
      </c>
      <c r="N24" s="54"/>
      <c r="O24" s="50"/>
      <c r="P24" s="50"/>
      <c r="Q24" s="55" t="s">
        <v>42</v>
      </c>
      <c r="R24" s="50" t="s">
        <v>44</v>
      </c>
      <c r="S24" s="50"/>
      <c r="T24" s="50"/>
      <c r="U24" s="56"/>
      <c r="V24" s="50" t="s">
        <v>70</v>
      </c>
      <c r="W24" s="50"/>
      <c r="X24" s="57"/>
      <c r="Y24" s="50"/>
      <c r="Z24" s="50"/>
      <c r="AA24" s="50"/>
      <c r="AB24" s="50"/>
      <c r="AC24" s="58" t="s">
        <v>165</v>
      </c>
      <c r="AD24" s="49" t="s">
        <v>113</v>
      </c>
      <c r="AE24" s="9" t="str">
        <f t="shared" si="0"/>
        <v>Open in Google Maps</v>
      </c>
    </row>
    <row r="25" spans="1:31" s="140" customFormat="1" ht="49.5" x14ac:dyDescent="0.3">
      <c r="A25" s="1">
        <f t="shared" si="1"/>
        <v>22</v>
      </c>
      <c r="B25" s="59" t="s">
        <v>199</v>
      </c>
      <c r="C25" s="60" t="s">
        <v>200</v>
      </c>
      <c r="D25" s="60" t="s">
        <v>201</v>
      </c>
      <c r="E25" s="60" t="s">
        <v>202</v>
      </c>
      <c r="F25" s="3" t="s">
        <v>36</v>
      </c>
      <c r="G25" s="4">
        <v>46091</v>
      </c>
      <c r="H25" s="59" t="s">
        <v>203</v>
      </c>
      <c r="I25" s="59" t="s">
        <v>204</v>
      </c>
      <c r="J25" s="59" t="s">
        <v>205</v>
      </c>
      <c r="K25" s="59" t="s">
        <v>206</v>
      </c>
      <c r="L25" s="5">
        <v>-18.167797</v>
      </c>
      <c r="M25" s="5">
        <v>142.21199999999999</v>
      </c>
      <c r="N25" s="60"/>
      <c r="O25" s="60"/>
      <c r="P25" s="60"/>
      <c r="Q25" s="60" t="s">
        <v>207</v>
      </c>
      <c r="R25" s="60" t="s">
        <v>44</v>
      </c>
      <c r="S25" s="60"/>
      <c r="T25" s="60"/>
      <c r="U25" s="60"/>
      <c r="V25" s="60"/>
      <c r="W25" s="60"/>
      <c r="X25" s="61"/>
      <c r="Y25" s="7"/>
      <c r="Z25" s="7"/>
      <c r="AA25" s="7"/>
      <c r="AB25" s="7"/>
      <c r="AC25" s="62" t="s">
        <v>208</v>
      </c>
      <c r="AD25" s="63" t="s">
        <v>209</v>
      </c>
      <c r="AE25" s="9" t="str">
        <f t="shared" si="0"/>
        <v>Open in Google Maps</v>
      </c>
    </row>
    <row r="26" spans="1:31" s="140" customFormat="1" ht="33.6" customHeight="1" x14ac:dyDescent="0.3">
      <c r="A26" s="1">
        <f t="shared" si="1"/>
        <v>23</v>
      </c>
      <c r="B26" s="2" t="s">
        <v>210</v>
      </c>
      <c r="C26" s="3" t="s">
        <v>211</v>
      </c>
      <c r="D26" s="3" t="s">
        <v>212</v>
      </c>
      <c r="E26" s="3" t="s">
        <v>35</v>
      </c>
      <c r="F26" s="3" t="s">
        <v>36</v>
      </c>
      <c r="G26" s="4">
        <v>46534</v>
      </c>
      <c r="H26" s="2" t="s">
        <v>37</v>
      </c>
      <c r="I26" s="2" t="s">
        <v>213</v>
      </c>
      <c r="J26" s="2" t="s">
        <v>39</v>
      </c>
      <c r="K26" s="2" t="s">
        <v>214</v>
      </c>
      <c r="L26" s="5">
        <v>-20.665626</v>
      </c>
      <c r="M26" s="5">
        <v>147.89620199999999</v>
      </c>
      <c r="N26" s="3"/>
      <c r="O26" s="3" t="s">
        <v>41</v>
      </c>
      <c r="P26" s="3"/>
      <c r="Q26" s="3"/>
      <c r="R26" s="3" t="s">
        <v>44</v>
      </c>
      <c r="S26" s="3"/>
      <c r="T26" s="3"/>
      <c r="U26" s="3" t="s">
        <v>41</v>
      </c>
      <c r="V26" s="3" t="s">
        <v>70</v>
      </c>
      <c r="W26" s="3" t="s">
        <v>44</v>
      </c>
      <c r="X26" s="6" t="s">
        <v>44</v>
      </c>
      <c r="Y26" s="40"/>
      <c r="Z26" s="7"/>
      <c r="AA26" s="7"/>
      <c r="AB26" s="7"/>
      <c r="AC26" s="11" t="s">
        <v>215</v>
      </c>
      <c r="AD26" s="12" t="s">
        <v>113</v>
      </c>
      <c r="AE26" s="9" t="str">
        <f t="shared" si="0"/>
        <v>Open in Google Maps</v>
      </c>
    </row>
    <row r="27" spans="1:31" s="140" customFormat="1" ht="33.6" customHeight="1" x14ac:dyDescent="0.3">
      <c r="A27" s="1">
        <f t="shared" si="1"/>
        <v>24</v>
      </c>
      <c r="B27" s="2" t="s">
        <v>216</v>
      </c>
      <c r="C27" s="3" t="s">
        <v>217</v>
      </c>
      <c r="D27" s="3" t="s">
        <v>218</v>
      </c>
      <c r="E27" s="3" t="s">
        <v>35</v>
      </c>
      <c r="F27" s="3" t="s">
        <v>36</v>
      </c>
      <c r="G27" s="4">
        <v>46305</v>
      </c>
      <c r="H27" s="2" t="s">
        <v>118</v>
      </c>
      <c r="I27" s="2" t="s">
        <v>219</v>
      </c>
      <c r="J27" s="2" t="s">
        <v>220</v>
      </c>
      <c r="K27" s="2" t="s">
        <v>221</v>
      </c>
      <c r="L27" s="5">
        <v>-28.674071999999999</v>
      </c>
      <c r="M27" s="5">
        <v>150.632147</v>
      </c>
      <c r="N27" s="3"/>
      <c r="O27" s="3"/>
      <c r="P27" s="3"/>
      <c r="Q27" s="3"/>
      <c r="R27" s="3"/>
      <c r="S27" s="3" t="s">
        <v>44</v>
      </c>
      <c r="T27" s="3" t="s">
        <v>44</v>
      </c>
      <c r="U27" s="3"/>
      <c r="V27" s="3"/>
      <c r="W27" s="3"/>
      <c r="X27" s="6"/>
      <c r="Y27" s="7"/>
      <c r="Z27" s="3" t="s">
        <v>44</v>
      </c>
      <c r="AA27" s="7"/>
      <c r="AB27" s="7"/>
      <c r="AC27" s="11" t="s">
        <v>222</v>
      </c>
      <c r="AD27" s="12" t="s">
        <v>55</v>
      </c>
      <c r="AE27" s="9" t="str">
        <f t="shared" si="0"/>
        <v>Open in Google Maps</v>
      </c>
    </row>
    <row r="28" spans="1:31" s="141" customFormat="1" ht="34.15" customHeight="1" x14ac:dyDescent="0.3">
      <c r="A28" s="1">
        <f t="shared" si="1"/>
        <v>25</v>
      </c>
      <c r="B28" s="23" t="s">
        <v>223</v>
      </c>
      <c r="C28" s="13" t="s">
        <v>224</v>
      </c>
      <c r="D28" s="13" t="s">
        <v>225</v>
      </c>
      <c r="E28" s="13" t="s">
        <v>35</v>
      </c>
      <c r="F28" s="13" t="s">
        <v>226</v>
      </c>
      <c r="G28" s="24">
        <v>46501</v>
      </c>
      <c r="H28" s="64" t="s">
        <v>227</v>
      </c>
      <c r="I28" s="23" t="s">
        <v>228</v>
      </c>
      <c r="J28" s="23" t="s">
        <v>229</v>
      </c>
      <c r="K28" s="23" t="s">
        <v>230</v>
      </c>
      <c r="L28" s="25">
        <v>-16.928808</v>
      </c>
      <c r="M28" s="25">
        <v>145.39218600000001</v>
      </c>
      <c r="N28" s="13"/>
      <c r="O28" s="13"/>
      <c r="P28" s="13"/>
      <c r="Q28" s="13"/>
      <c r="R28" s="13"/>
      <c r="S28" s="13" t="s">
        <v>44</v>
      </c>
      <c r="T28" s="13" t="s">
        <v>44</v>
      </c>
      <c r="U28" s="13"/>
      <c r="V28" s="13"/>
      <c r="W28" s="13"/>
      <c r="X28" s="26"/>
      <c r="Y28" s="7"/>
      <c r="Z28" s="7"/>
      <c r="AA28" s="7"/>
      <c r="AB28" s="7"/>
      <c r="AC28" s="27" t="s">
        <v>231</v>
      </c>
      <c r="AD28" s="28" t="s">
        <v>55</v>
      </c>
      <c r="AE28" s="9" t="str">
        <f t="shared" si="0"/>
        <v>Open in Google Maps</v>
      </c>
    </row>
    <row r="29" spans="1:31" s="140" customFormat="1" ht="33" x14ac:dyDescent="0.3">
      <c r="A29" s="1">
        <f t="shared" si="1"/>
        <v>26</v>
      </c>
      <c r="B29" s="2" t="s">
        <v>232</v>
      </c>
      <c r="C29" s="3" t="s">
        <v>233</v>
      </c>
      <c r="D29" s="3" t="s">
        <v>234</v>
      </c>
      <c r="E29" s="3" t="s">
        <v>35</v>
      </c>
      <c r="F29" s="3" t="s">
        <v>36</v>
      </c>
      <c r="G29" s="4">
        <v>46311</v>
      </c>
      <c r="H29" s="2" t="s">
        <v>235</v>
      </c>
      <c r="I29" s="2" t="s">
        <v>236</v>
      </c>
      <c r="J29" s="2" t="s">
        <v>237</v>
      </c>
      <c r="K29" s="2" t="s">
        <v>238</v>
      </c>
      <c r="L29" s="5">
        <v>-19.59747274954</v>
      </c>
      <c r="M29" s="5">
        <v>138.81863231193</v>
      </c>
      <c r="N29" s="14"/>
      <c r="O29" s="3" t="s">
        <v>41</v>
      </c>
      <c r="P29" s="3"/>
      <c r="Q29" s="3" t="s">
        <v>41</v>
      </c>
      <c r="R29" s="3" t="s">
        <v>41</v>
      </c>
      <c r="S29" s="3" t="s">
        <v>41</v>
      </c>
      <c r="T29" s="3" t="s">
        <v>41</v>
      </c>
      <c r="U29" s="3" t="s">
        <v>41</v>
      </c>
      <c r="V29" s="3" t="s">
        <v>70</v>
      </c>
      <c r="W29" s="3"/>
      <c r="X29" s="6"/>
      <c r="Y29" s="40"/>
      <c r="Z29" s="7"/>
      <c r="AA29" s="7"/>
      <c r="AB29" s="7"/>
      <c r="AC29" s="8" t="s">
        <v>239</v>
      </c>
      <c r="AD29" s="28" t="s">
        <v>140</v>
      </c>
      <c r="AE29" s="9" t="str">
        <f t="shared" si="0"/>
        <v>Open in Google Maps</v>
      </c>
    </row>
    <row r="30" spans="1:31" s="140" customFormat="1" ht="66" x14ac:dyDescent="0.3">
      <c r="A30" s="1">
        <f t="shared" si="1"/>
        <v>27</v>
      </c>
      <c r="B30" s="2" t="s">
        <v>240</v>
      </c>
      <c r="C30" s="3" t="s">
        <v>241</v>
      </c>
      <c r="D30" s="3" t="s">
        <v>58</v>
      </c>
      <c r="E30" s="3" t="s">
        <v>242</v>
      </c>
      <c r="F30" s="3" t="s">
        <v>36</v>
      </c>
      <c r="G30" s="4">
        <v>46081</v>
      </c>
      <c r="H30" s="2" t="s">
        <v>154</v>
      </c>
      <c r="I30" s="2" t="s">
        <v>243</v>
      </c>
      <c r="J30" s="2" t="s">
        <v>244</v>
      </c>
      <c r="K30" s="2" t="s">
        <v>245</v>
      </c>
      <c r="L30" s="48">
        <v>-25.537400000000002</v>
      </c>
      <c r="M30" s="5">
        <v>151.97880000000001</v>
      </c>
      <c r="N30" s="3"/>
      <c r="O30" s="3"/>
      <c r="P30" s="3"/>
      <c r="Q30" s="3" t="s">
        <v>42</v>
      </c>
      <c r="R30" s="3" t="s">
        <v>44</v>
      </c>
      <c r="S30" s="3"/>
      <c r="T30" s="3" t="s">
        <v>41</v>
      </c>
      <c r="U30" s="3" t="s">
        <v>41</v>
      </c>
      <c r="V30" s="3" t="s">
        <v>70</v>
      </c>
      <c r="W30" s="3" t="s">
        <v>44</v>
      </c>
      <c r="X30" s="6" t="s">
        <v>44</v>
      </c>
      <c r="Y30" s="7"/>
      <c r="Z30" s="7"/>
      <c r="AA30" s="7"/>
      <c r="AB30" s="7"/>
      <c r="AC30" s="11" t="s">
        <v>246</v>
      </c>
      <c r="AD30" s="12" t="s">
        <v>247</v>
      </c>
      <c r="AE30" s="9" t="str">
        <f t="shared" si="0"/>
        <v>Open in Google Maps</v>
      </c>
    </row>
    <row r="31" spans="1:31" s="140" customFormat="1" ht="66" x14ac:dyDescent="0.3">
      <c r="A31" s="1">
        <f t="shared" si="1"/>
        <v>28</v>
      </c>
      <c r="B31" s="2" t="s">
        <v>248</v>
      </c>
      <c r="C31" s="13" t="s">
        <v>249</v>
      </c>
      <c r="D31" s="3" t="s">
        <v>250</v>
      </c>
      <c r="E31" s="13" t="s">
        <v>35</v>
      </c>
      <c r="F31" s="3" t="s">
        <v>36</v>
      </c>
      <c r="G31" s="4">
        <v>46450</v>
      </c>
      <c r="H31" s="28" t="s">
        <v>181</v>
      </c>
      <c r="I31" s="28" t="s">
        <v>251</v>
      </c>
      <c r="J31" s="28" t="s">
        <v>252</v>
      </c>
      <c r="K31" s="28" t="s">
        <v>253</v>
      </c>
      <c r="L31" s="48">
        <v>-23.54</v>
      </c>
      <c r="M31" s="5">
        <v>149.14400000000001</v>
      </c>
      <c r="N31" s="13"/>
      <c r="O31" s="13"/>
      <c r="P31" s="13"/>
      <c r="Q31" s="13" t="s">
        <v>254</v>
      </c>
      <c r="R31" s="13"/>
      <c r="S31" s="13"/>
      <c r="T31" s="13"/>
      <c r="U31" s="13"/>
      <c r="V31" s="13" t="s">
        <v>70</v>
      </c>
      <c r="W31" s="13" t="s">
        <v>44</v>
      </c>
      <c r="X31" s="26" t="s">
        <v>44</v>
      </c>
      <c r="Y31" s="7"/>
      <c r="Z31" s="7"/>
      <c r="AA31" s="13" t="s">
        <v>44</v>
      </c>
      <c r="AB31" s="7"/>
      <c r="AC31" s="11" t="s">
        <v>255</v>
      </c>
      <c r="AD31" s="12" t="s">
        <v>113</v>
      </c>
      <c r="AE31" s="9" t="str">
        <f t="shared" si="0"/>
        <v>Open in Google Maps</v>
      </c>
    </row>
    <row r="32" spans="1:31" s="141" customFormat="1" ht="66" x14ac:dyDescent="0.3">
      <c r="A32" s="1">
        <f t="shared" si="1"/>
        <v>29</v>
      </c>
      <c r="B32" s="15" t="s">
        <v>256</v>
      </c>
      <c r="C32" s="16" t="s">
        <v>257</v>
      </c>
      <c r="D32" s="16" t="s">
        <v>258</v>
      </c>
      <c r="E32" s="16" t="s">
        <v>202</v>
      </c>
      <c r="F32" s="3" t="s">
        <v>36</v>
      </c>
      <c r="G32" s="17">
        <v>46059</v>
      </c>
      <c r="H32" s="15" t="s">
        <v>50</v>
      </c>
      <c r="I32" s="15" t="s">
        <v>259</v>
      </c>
      <c r="J32" s="18" t="s">
        <v>260</v>
      </c>
      <c r="K32" s="15" t="s">
        <v>261</v>
      </c>
      <c r="L32" s="19">
        <v>-19.265799999999999</v>
      </c>
      <c r="M32" s="19">
        <v>146.56319999999999</v>
      </c>
      <c r="N32" s="16"/>
      <c r="O32" s="16" t="s">
        <v>41</v>
      </c>
      <c r="P32" s="16"/>
      <c r="Q32" s="16" t="s">
        <v>42</v>
      </c>
      <c r="R32" s="16" t="s">
        <v>44</v>
      </c>
      <c r="S32" s="16" t="s">
        <v>41</v>
      </c>
      <c r="T32" s="16"/>
      <c r="U32" s="16" t="s">
        <v>41</v>
      </c>
      <c r="V32" s="16" t="s">
        <v>43</v>
      </c>
      <c r="W32" s="16" t="s">
        <v>44</v>
      </c>
      <c r="X32" s="20" t="s">
        <v>44</v>
      </c>
      <c r="Y32" s="16" t="s">
        <v>44</v>
      </c>
      <c r="Z32" s="7"/>
      <c r="AA32" s="13" t="s">
        <v>44</v>
      </c>
      <c r="AB32" s="7"/>
      <c r="AC32" s="65" t="s">
        <v>262</v>
      </c>
      <c r="AD32" s="15" t="s">
        <v>209</v>
      </c>
      <c r="AE32" s="9" t="str">
        <f t="shared" si="0"/>
        <v>Open in Google Maps</v>
      </c>
    </row>
    <row r="33" spans="1:31" s="140" customFormat="1" ht="66" x14ac:dyDescent="0.3">
      <c r="A33" s="1">
        <f t="shared" si="1"/>
        <v>30</v>
      </c>
      <c r="B33" s="15" t="s">
        <v>263</v>
      </c>
      <c r="C33" s="16" t="s">
        <v>264</v>
      </c>
      <c r="D33" s="16" t="s">
        <v>265</v>
      </c>
      <c r="E33" s="16" t="s">
        <v>35</v>
      </c>
      <c r="F33" s="16" t="s">
        <v>36</v>
      </c>
      <c r="G33" s="17">
        <v>46233</v>
      </c>
      <c r="H33" s="15" t="s">
        <v>181</v>
      </c>
      <c r="I33" s="15" t="s">
        <v>266</v>
      </c>
      <c r="J33" s="15" t="s">
        <v>252</v>
      </c>
      <c r="K33" s="15" t="s">
        <v>267</v>
      </c>
      <c r="L33" s="19">
        <v>-23.380651</v>
      </c>
      <c r="M33" s="19">
        <v>148.82982899999999</v>
      </c>
      <c r="N33" s="66"/>
      <c r="O33" s="16"/>
      <c r="P33" s="16"/>
      <c r="Q33" s="16" t="s">
        <v>42</v>
      </c>
      <c r="R33" s="16" t="s">
        <v>44</v>
      </c>
      <c r="S33" s="16"/>
      <c r="T33" s="16"/>
      <c r="U33" s="16" t="s">
        <v>41</v>
      </c>
      <c r="V33" s="16" t="s">
        <v>70</v>
      </c>
      <c r="W33" s="16"/>
      <c r="X33" s="20"/>
      <c r="Y33" s="7"/>
      <c r="Z33" s="7"/>
      <c r="AA33" s="7"/>
      <c r="AB33" s="7"/>
      <c r="AC33" s="21" t="s">
        <v>268</v>
      </c>
      <c r="AD33" s="22" t="s">
        <v>113</v>
      </c>
      <c r="AE33" s="9" t="str">
        <f t="shared" si="0"/>
        <v>Open in Google Maps</v>
      </c>
    </row>
    <row r="34" spans="1:31" s="140" customFormat="1" ht="33" x14ac:dyDescent="0.3">
      <c r="A34" s="1">
        <f t="shared" si="1"/>
        <v>31</v>
      </c>
      <c r="B34" s="2" t="s">
        <v>269</v>
      </c>
      <c r="C34" s="3" t="s">
        <v>270</v>
      </c>
      <c r="D34" s="3" t="s">
        <v>271</v>
      </c>
      <c r="E34" s="3" t="s">
        <v>35</v>
      </c>
      <c r="F34" s="3" t="s">
        <v>36</v>
      </c>
      <c r="G34" s="4">
        <v>46218</v>
      </c>
      <c r="H34" s="2" t="s">
        <v>272</v>
      </c>
      <c r="I34" s="2" t="s">
        <v>273</v>
      </c>
      <c r="J34" s="2" t="s">
        <v>274</v>
      </c>
      <c r="K34" s="2" t="s">
        <v>275</v>
      </c>
      <c r="L34" s="5">
        <v>-27.893557999999999</v>
      </c>
      <c r="M34" s="5">
        <v>151.19864799999999</v>
      </c>
      <c r="N34" s="3"/>
      <c r="O34" s="3" t="s">
        <v>41</v>
      </c>
      <c r="P34" s="3"/>
      <c r="Q34" s="3" t="s">
        <v>41</v>
      </c>
      <c r="R34" s="3"/>
      <c r="S34" s="3" t="s">
        <v>44</v>
      </c>
      <c r="T34" s="3" t="s">
        <v>44</v>
      </c>
      <c r="U34" s="3" t="s">
        <v>41</v>
      </c>
      <c r="V34" s="3" t="s">
        <v>149</v>
      </c>
      <c r="W34" s="3"/>
      <c r="X34" s="3"/>
      <c r="Y34" s="7"/>
      <c r="Z34" s="7"/>
      <c r="AA34" s="7"/>
      <c r="AB34" s="7"/>
      <c r="AC34" s="11" t="s">
        <v>276</v>
      </c>
      <c r="AD34" s="12" t="s">
        <v>55</v>
      </c>
      <c r="AE34" s="9" t="str">
        <f t="shared" si="0"/>
        <v>Open in Google Maps</v>
      </c>
    </row>
    <row r="35" spans="1:31" s="140" customFormat="1" ht="66" x14ac:dyDescent="0.3">
      <c r="A35" s="1">
        <f t="shared" si="1"/>
        <v>32</v>
      </c>
      <c r="B35" s="2" t="s">
        <v>277</v>
      </c>
      <c r="C35" s="3" t="s">
        <v>278</v>
      </c>
      <c r="D35" s="3" t="s">
        <v>279</v>
      </c>
      <c r="E35" s="3" t="s">
        <v>35</v>
      </c>
      <c r="F35" s="3" t="s">
        <v>88</v>
      </c>
      <c r="G35" s="67">
        <v>46348</v>
      </c>
      <c r="H35" s="2" t="s">
        <v>280</v>
      </c>
      <c r="I35" s="2" t="s">
        <v>281</v>
      </c>
      <c r="J35" s="2" t="s">
        <v>282</v>
      </c>
      <c r="K35" s="2" t="s">
        <v>283</v>
      </c>
      <c r="L35" s="5">
        <v>-27.836452000000001</v>
      </c>
      <c r="M35" s="5">
        <v>153.18825000000001</v>
      </c>
      <c r="N35" s="3"/>
      <c r="O35" s="3" t="s">
        <v>44</v>
      </c>
      <c r="P35" s="3"/>
      <c r="Q35" s="13" t="s">
        <v>42</v>
      </c>
      <c r="R35" s="3" t="s">
        <v>44</v>
      </c>
      <c r="S35" s="3" t="s">
        <v>44</v>
      </c>
      <c r="T35" s="3" t="s">
        <v>44</v>
      </c>
      <c r="U35" s="3" t="s">
        <v>44</v>
      </c>
      <c r="V35" s="3" t="s">
        <v>43</v>
      </c>
      <c r="W35" s="3" t="s">
        <v>44</v>
      </c>
      <c r="X35" s="3" t="s">
        <v>44</v>
      </c>
      <c r="Y35" s="3" t="s">
        <v>44</v>
      </c>
      <c r="Z35" s="3"/>
      <c r="AA35" s="3" t="s">
        <v>44</v>
      </c>
      <c r="AB35" s="3" t="s">
        <v>44</v>
      </c>
      <c r="AC35" s="8" t="s">
        <v>284</v>
      </c>
      <c r="AD35" s="2" t="s">
        <v>247</v>
      </c>
      <c r="AE35" s="9" t="str">
        <f t="shared" si="0"/>
        <v>Open in Google Maps</v>
      </c>
    </row>
    <row r="36" spans="1:31" s="141" customFormat="1" ht="66" x14ac:dyDescent="0.3">
      <c r="A36" s="1">
        <f t="shared" si="1"/>
        <v>33</v>
      </c>
      <c r="B36" s="68" t="s">
        <v>285</v>
      </c>
      <c r="C36" s="55" t="s">
        <v>286</v>
      </c>
      <c r="D36" s="55" t="s">
        <v>287</v>
      </c>
      <c r="E36" s="55" t="s">
        <v>35</v>
      </c>
      <c r="F36" s="55" t="s">
        <v>36</v>
      </c>
      <c r="G36" s="69">
        <v>46060</v>
      </c>
      <c r="H36" s="68" t="s">
        <v>235</v>
      </c>
      <c r="I36" s="68" t="s">
        <v>288</v>
      </c>
      <c r="J36" s="68" t="s">
        <v>137</v>
      </c>
      <c r="K36" s="68" t="s">
        <v>289</v>
      </c>
      <c r="L36" s="19">
        <v>-20.639886000000001</v>
      </c>
      <c r="M36" s="19">
        <v>139.54231100000001</v>
      </c>
      <c r="N36" s="55"/>
      <c r="O36" s="55"/>
      <c r="P36" s="55"/>
      <c r="Q36" s="55" t="s">
        <v>42</v>
      </c>
      <c r="R36" s="55" t="s">
        <v>44</v>
      </c>
      <c r="S36" s="55" t="s">
        <v>44</v>
      </c>
      <c r="T36" s="55"/>
      <c r="U36" s="55"/>
      <c r="V36" s="55" t="s">
        <v>70</v>
      </c>
      <c r="W36" s="55"/>
      <c r="X36" s="70"/>
      <c r="Y36" s="40"/>
      <c r="Z36" s="7"/>
      <c r="AA36" s="7"/>
      <c r="AB36" s="7"/>
      <c r="AC36" s="71" t="s">
        <v>290</v>
      </c>
      <c r="AD36" s="64" t="s">
        <v>247</v>
      </c>
      <c r="AE36" s="9" t="str">
        <f t="shared" si="0"/>
        <v>Open in Google Maps</v>
      </c>
    </row>
    <row r="37" spans="1:31" s="140" customFormat="1" ht="34.9" customHeight="1" x14ac:dyDescent="0.3">
      <c r="A37" s="1">
        <f t="shared" si="1"/>
        <v>34</v>
      </c>
      <c r="B37" s="2" t="s">
        <v>291</v>
      </c>
      <c r="C37" s="3" t="s">
        <v>292</v>
      </c>
      <c r="D37" s="3" t="s">
        <v>293</v>
      </c>
      <c r="E37" s="3" t="s">
        <v>35</v>
      </c>
      <c r="F37" s="3" t="s">
        <v>36</v>
      </c>
      <c r="G37" s="4">
        <v>46218</v>
      </c>
      <c r="H37" s="2" t="s">
        <v>108</v>
      </c>
      <c r="I37" s="2" t="s">
        <v>294</v>
      </c>
      <c r="J37" s="2" t="s">
        <v>295</v>
      </c>
      <c r="K37" s="2" t="s">
        <v>296</v>
      </c>
      <c r="L37" s="48" t="s">
        <v>297</v>
      </c>
      <c r="M37" s="5" t="s">
        <v>298</v>
      </c>
      <c r="N37" s="3"/>
      <c r="O37" s="3"/>
      <c r="P37" s="3"/>
      <c r="Q37" s="3"/>
      <c r="R37" s="3"/>
      <c r="S37" s="3" t="s">
        <v>44</v>
      </c>
      <c r="T37" s="3" t="s">
        <v>44</v>
      </c>
      <c r="U37" s="3"/>
      <c r="V37" s="3"/>
      <c r="W37" s="3"/>
      <c r="X37" s="6"/>
      <c r="Y37" s="40"/>
      <c r="Z37" s="7"/>
      <c r="AA37" s="40"/>
      <c r="AB37" s="7"/>
      <c r="AC37" s="11" t="s">
        <v>299</v>
      </c>
      <c r="AD37" s="12" t="s">
        <v>55</v>
      </c>
      <c r="AE37" s="9" t="str">
        <f t="shared" si="0"/>
        <v>Open in Google Maps</v>
      </c>
    </row>
    <row r="38" spans="1:31" s="140" customFormat="1" ht="34.15" customHeight="1" x14ac:dyDescent="0.3">
      <c r="A38" s="1">
        <f t="shared" si="1"/>
        <v>35</v>
      </c>
      <c r="B38" s="72" t="s">
        <v>300</v>
      </c>
      <c r="C38" s="30" t="s">
        <v>301</v>
      </c>
      <c r="D38" s="30" t="s">
        <v>302</v>
      </c>
      <c r="E38" s="30" t="s">
        <v>35</v>
      </c>
      <c r="F38" s="3" t="s">
        <v>303</v>
      </c>
      <c r="G38" s="67">
        <v>46082</v>
      </c>
      <c r="H38" s="72" t="s">
        <v>304</v>
      </c>
      <c r="I38" s="72" t="s">
        <v>305</v>
      </c>
      <c r="J38" s="72" t="s">
        <v>306</v>
      </c>
      <c r="K38" s="72" t="s">
        <v>305</v>
      </c>
      <c r="L38" s="73">
        <v>-28.044575999999999</v>
      </c>
      <c r="M38" s="73">
        <v>151.888049</v>
      </c>
      <c r="N38" s="30"/>
      <c r="O38" s="30"/>
      <c r="P38" s="30"/>
      <c r="Q38" s="30" t="s">
        <v>41</v>
      </c>
      <c r="R38" s="30"/>
      <c r="S38" s="30" t="s">
        <v>44</v>
      </c>
      <c r="T38" s="30" t="s">
        <v>44</v>
      </c>
      <c r="U38" s="30" t="s">
        <v>41</v>
      </c>
      <c r="V38" s="30" t="s">
        <v>149</v>
      </c>
      <c r="W38" s="30"/>
      <c r="X38" s="30"/>
      <c r="Y38" s="7"/>
      <c r="Z38" s="7"/>
      <c r="AA38" s="7"/>
      <c r="AB38" s="7"/>
      <c r="AC38" s="74" t="s">
        <v>307</v>
      </c>
      <c r="AD38" s="75" t="s">
        <v>55</v>
      </c>
      <c r="AE38" s="9" t="str">
        <f t="shared" si="0"/>
        <v>Open in Google Maps</v>
      </c>
    </row>
    <row r="39" spans="1:31" s="140" customFormat="1" ht="34.15" customHeight="1" x14ac:dyDescent="0.3">
      <c r="A39" s="1">
        <f t="shared" si="1"/>
        <v>36</v>
      </c>
      <c r="B39" s="2" t="s">
        <v>308</v>
      </c>
      <c r="C39" s="3" t="s">
        <v>309</v>
      </c>
      <c r="D39" s="3" t="s">
        <v>310</v>
      </c>
      <c r="E39" s="3" t="s">
        <v>35</v>
      </c>
      <c r="F39" s="3" t="s">
        <v>36</v>
      </c>
      <c r="G39" s="4">
        <v>46739</v>
      </c>
      <c r="H39" s="2" t="s">
        <v>311</v>
      </c>
      <c r="I39" s="2" t="s">
        <v>312</v>
      </c>
      <c r="J39" s="2" t="s">
        <v>313</v>
      </c>
      <c r="K39" s="2" t="s">
        <v>314</v>
      </c>
      <c r="L39" s="5">
        <v>-17.998999999999999</v>
      </c>
      <c r="M39" s="5">
        <v>145.982</v>
      </c>
      <c r="N39" s="3"/>
      <c r="O39" s="3"/>
      <c r="P39" s="3"/>
      <c r="Q39" s="3"/>
      <c r="R39" s="3"/>
      <c r="S39" s="3" t="s">
        <v>44</v>
      </c>
      <c r="T39" s="3" t="s">
        <v>44</v>
      </c>
      <c r="U39" s="3"/>
      <c r="V39" s="3"/>
      <c r="W39" s="3"/>
      <c r="X39" s="6"/>
      <c r="Y39" s="40"/>
      <c r="Z39" s="7"/>
      <c r="AA39" s="7"/>
      <c r="AB39" s="7"/>
      <c r="AC39" s="11" t="s">
        <v>315</v>
      </c>
      <c r="AD39" s="12" t="s">
        <v>55</v>
      </c>
      <c r="AE39" s="9" t="str">
        <f t="shared" si="0"/>
        <v>Open in Google Maps</v>
      </c>
    </row>
    <row r="40" spans="1:31" s="140" customFormat="1" ht="66" x14ac:dyDescent="0.3">
      <c r="A40" s="1">
        <f t="shared" si="1"/>
        <v>37</v>
      </c>
      <c r="B40" s="2" t="s">
        <v>316</v>
      </c>
      <c r="C40" s="3" t="s">
        <v>317</v>
      </c>
      <c r="D40" s="3" t="s">
        <v>318</v>
      </c>
      <c r="E40" s="3" t="s">
        <v>35</v>
      </c>
      <c r="F40" s="3" t="s">
        <v>36</v>
      </c>
      <c r="G40" s="4">
        <v>46449</v>
      </c>
      <c r="H40" s="2" t="s">
        <v>311</v>
      </c>
      <c r="I40" s="2" t="s">
        <v>319</v>
      </c>
      <c r="J40" s="2" t="s">
        <v>313</v>
      </c>
      <c r="K40" s="2" t="s">
        <v>314</v>
      </c>
      <c r="L40" s="5">
        <v>-18.113171000000001</v>
      </c>
      <c r="M40" s="5">
        <v>145.84156899999999</v>
      </c>
      <c r="N40" s="3"/>
      <c r="O40" s="3" t="s">
        <v>44</v>
      </c>
      <c r="P40" s="3"/>
      <c r="Q40" s="3" t="s">
        <v>42</v>
      </c>
      <c r="R40" s="3" t="s">
        <v>44</v>
      </c>
      <c r="S40" s="3" t="s">
        <v>44</v>
      </c>
      <c r="T40" s="3" t="s">
        <v>44</v>
      </c>
      <c r="U40" s="3" t="s">
        <v>41</v>
      </c>
      <c r="V40" s="3" t="s">
        <v>70</v>
      </c>
      <c r="W40" s="3" t="s">
        <v>44</v>
      </c>
      <c r="X40" s="6" t="s">
        <v>44</v>
      </c>
      <c r="Y40" s="3"/>
      <c r="Z40" s="7"/>
      <c r="AA40" s="7"/>
      <c r="AB40" s="7"/>
      <c r="AC40" s="11" t="s">
        <v>320</v>
      </c>
      <c r="AD40" s="12" t="s">
        <v>209</v>
      </c>
      <c r="AE40" s="9" t="str">
        <f t="shared" si="0"/>
        <v>Open in Google Maps</v>
      </c>
    </row>
    <row r="41" spans="1:31" s="140" customFormat="1" ht="148.5" x14ac:dyDescent="0.3">
      <c r="A41" s="1">
        <f t="shared" si="1"/>
        <v>38</v>
      </c>
      <c r="B41" s="23" t="s">
        <v>321</v>
      </c>
      <c r="C41" s="13" t="s">
        <v>322</v>
      </c>
      <c r="D41" s="13" t="s">
        <v>323</v>
      </c>
      <c r="E41" s="3" t="s">
        <v>35</v>
      </c>
      <c r="F41" s="3" t="s">
        <v>36</v>
      </c>
      <c r="G41" s="24">
        <v>46698</v>
      </c>
      <c r="H41" s="28" t="s">
        <v>324</v>
      </c>
      <c r="I41" s="28" t="s">
        <v>325</v>
      </c>
      <c r="J41" s="28" t="s">
        <v>326</v>
      </c>
      <c r="K41" s="28" t="s">
        <v>327</v>
      </c>
      <c r="L41" s="13">
        <v>-28.609000000000002</v>
      </c>
      <c r="M41" s="13">
        <v>148.40199999999999</v>
      </c>
      <c r="N41" s="13"/>
      <c r="O41" s="13"/>
      <c r="P41" s="13"/>
      <c r="Q41" s="13"/>
      <c r="R41" s="13"/>
      <c r="S41" s="13"/>
      <c r="T41" s="13"/>
      <c r="U41" s="13"/>
      <c r="V41" s="13" t="s">
        <v>328</v>
      </c>
      <c r="W41" s="13"/>
      <c r="X41" s="26"/>
      <c r="Y41" s="7"/>
      <c r="Z41" s="7"/>
      <c r="AA41" s="7"/>
      <c r="AB41" s="7"/>
      <c r="AC41" s="76" t="s">
        <v>329</v>
      </c>
      <c r="AD41" s="28" t="s">
        <v>140</v>
      </c>
      <c r="AE41" s="9" t="str">
        <f t="shared" si="0"/>
        <v>Open in Google Maps</v>
      </c>
    </row>
    <row r="42" spans="1:31" s="140" customFormat="1" ht="66" x14ac:dyDescent="0.3">
      <c r="A42" s="1">
        <f t="shared" si="1"/>
        <v>39</v>
      </c>
      <c r="B42" s="2" t="s">
        <v>330</v>
      </c>
      <c r="C42" s="3" t="s">
        <v>331</v>
      </c>
      <c r="D42" s="3" t="s">
        <v>332</v>
      </c>
      <c r="E42" s="3" t="s">
        <v>35</v>
      </c>
      <c r="F42" s="13" t="s">
        <v>36</v>
      </c>
      <c r="G42" s="4">
        <v>46059</v>
      </c>
      <c r="H42" s="32" t="s">
        <v>333</v>
      </c>
      <c r="I42" s="2" t="s">
        <v>334</v>
      </c>
      <c r="J42" s="2" t="s">
        <v>335</v>
      </c>
      <c r="K42" s="2" t="s">
        <v>336</v>
      </c>
      <c r="L42" s="5">
        <v>-25.230633999999998</v>
      </c>
      <c r="M42" s="5">
        <v>152.07559000000001</v>
      </c>
      <c r="N42" s="3"/>
      <c r="O42" s="3" t="s">
        <v>44</v>
      </c>
      <c r="P42" s="3"/>
      <c r="Q42" s="13" t="s">
        <v>42</v>
      </c>
      <c r="R42" s="3" t="s">
        <v>44</v>
      </c>
      <c r="S42" s="3" t="s">
        <v>44</v>
      </c>
      <c r="T42" s="3" t="s">
        <v>44</v>
      </c>
      <c r="U42" s="3"/>
      <c r="V42" s="3" t="s">
        <v>70</v>
      </c>
      <c r="W42" s="3" t="s">
        <v>44</v>
      </c>
      <c r="X42" s="6" t="s">
        <v>44</v>
      </c>
      <c r="Y42" s="3" t="s">
        <v>44</v>
      </c>
      <c r="Z42" s="7"/>
      <c r="AA42" s="3" t="s">
        <v>44</v>
      </c>
      <c r="AB42" s="3" t="s">
        <v>44</v>
      </c>
      <c r="AC42" s="8" t="s">
        <v>337</v>
      </c>
      <c r="AD42" s="2" t="s">
        <v>247</v>
      </c>
      <c r="AE42" s="9" t="str">
        <f t="shared" si="0"/>
        <v>Open in Google Maps</v>
      </c>
    </row>
    <row r="43" spans="1:31" s="141" customFormat="1" ht="66" x14ac:dyDescent="0.3">
      <c r="A43" s="1">
        <f t="shared" si="1"/>
        <v>40</v>
      </c>
      <c r="B43" s="2" t="s">
        <v>338</v>
      </c>
      <c r="C43" s="3" t="s">
        <v>339</v>
      </c>
      <c r="D43" s="3" t="s">
        <v>340</v>
      </c>
      <c r="E43" s="3" t="s">
        <v>35</v>
      </c>
      <c r="F43" s="4" t="s">
        <v>303</v>
      </c>
      <c r="G43" s="4">
        <v>46151</v>
      </c>
      <c r="H43" s="2" t="s">
        <v>145</v>
      </c>
      <c r="I43" s="2" t="s">
        <v>341</v>
      </c>
      <c r="J43" s="2" t="s">
        <v>342</v>
      </c>
      <c r="K43" s="2" t="s">
        <v>343</v>
      </c>
      <c r="L43" s="5">
        <v>-21.086362916100001</v>
      </c>
      <c r="M43" s="5">
        <v>149.13361982402</v>
      </c>
      <c r="N43" s="14"/>
      <c r="O43" s="3" t="s">
        <v>44</v>
      </c>
      <c r="P43" s="3"/>
      <c r="Q43" s="3" t="s">
        <v>42</v>
      </c>
      <c r="R43" s="3" t="s">
        <v>44</v>
      </c>
      <c r="S43" s="3" t="s">
        <v>44</v>
      </c>
      <c r="T43" s="3" t="s">
        <v>44</v>
      </c>
      <c r="U43" s="3" t="s">
        <v>44</v>
      </c>
      <c r="V43" s="3" t="s">
        <v>43</v>
      </c>
      <c r="W43" s="3" t="s">
        <v>44</v>
      </c>
      <c r="X43" s="6" t="s">
        <v>44</v>
      </c>
      <c r="Y43" s="3" t="s">
        <v>44</v>
      </c>
      <c r="Z43" s="3"/>
      <c r="AA43" s="3" t="s">
        <v>44</v>
      </c>
      <c r="AB43" s="3" t="s">
        <v>44</v>
      </c>
      <c r="AC43" s="11" t="s">
        <v>344</v>
      </c>
      <c r="AD43" s="12" t="s">
        <v>345</v>
      </c>
      <c r="AE43" s="9" t="str">
        <f t="shared" si="0"/>
        <v>Open in Google Maps</v>
      </c>
    </row>
    <row r="44" spans="1:31" s="140" customFormat="1" ht="66" x14ac:dyDescent="0.3">
      <c r="A44" s="1">
        <f t="shared" si="1"/>
        <v>41</v>
      </c>
      <c r="B44" s="2" t="s">
        <v>346</v>
      </c>
      <c r="C44" s="3" t="s">
        <v>347</v>
      </c>
      <c r="D44" s="3" t="s">
        <v>348</v>
      </c>
      <c r="E44" s="3" t="s">
        <v>202</v>
      </c>
      <c r="F44" s="3" t="s">
        <v>88</v>
      </c>
      <c r="G44" s="4">
        <v>46084</v>
      </c>
      <c r="H44" s="2" t="s">
        <v>188</v>
      </c>
      <c r="I44" s="2" t="s">
        <v>349</v>
      </c>
      <c r="J44" s="2" t="s">
        <v>335</v>
      </c>
      <c r="K44" s="2" t="s">
        <v>350</v>
      </c>
      <c r="L44" s="5">
        <v>-25.293775</v>
      </c>
      <c r="M44" s="5">
        <v>152.75489999999999</v>
      </c>
      <c r="N44" s="3"/>
      <c r="O44" s="3" t="s">
        <v>44</v>
      </c>
      <c r="P44" s="3"/>
      <c r="Q44" s="3" t="s">
        <v>42</v>
      </c>
      <c r="R44" s="3" t="s">
        <v>44</v>
      </c>
      <c r="S44" s="3" t="s">
        <v>44</v>
      </c>
      <c r="T44" s="3" t="s">
        <v>44</v>
      </c>
      <c r="U44" s="3" t="s">
        <v>44</v>
      </c>
      <c r="V44" s="3" t="s">
        <v>43</v>
      </c>
      <c r="W44" s="3" t="s">
        <v>44</v>
      </c>
      <c r="X44" s="6" t="s">
        <v>44</v>
      </c>
      <c r="Y44" s="3" t="s">
        <v>44</v>
      </c>
      <c r="Z44" s="3"/>
      <c r="AA44" s="3" t="s">
        <v>44</v>
      </c>
      <c r="AB44" s="3" t="s">
        <v>44</v>
      </c>
      <c r="AC44" s="11" t="s">
        <v>165</v>
      </c>
      <c r="AD44" s="12" t="s">
        <v>113</v>
      </c>
      <c r="AE44" s="9" t="str">
        <f t="shared" si="0"/>
        <v>Open in Google Maps</v>
      </c>
    </row>
    <row r="45" spans="1:31" s="141" customFormat="1" ht="33" x14ac:dyDescent="0.3">
      <c r="A45" s="1">
        <f t="shared" si="1"/>
        <v>42</v>
      </c>
      <c r="B45" s="2" t="s">
        <v>351</v>
      </c>
      <c r="C45" s="3" t="s">
        <v>352</v>
      </c>
      <c r="D45" s="3" t="s">
        <v>353</v>
      </c>
      <c r="E45" s="3" t="s">
        <v>35</v>
      </c>
      <c r="F45" s="4" t="s">
        <v>36</v>
      </c>
      <c r="G45" s="4">
        <v>46348</v>
      </c>
      <c r="H45" s="2" t="s">
        <v>272</v>
      </c>
      <c r="I45" s="2" t="s">
        <v>354</v>
      </c>
      <c r="J45" s="2" t="s">
        <v>335</v>
      </c>
      <c r="K45" s="2" t="s">
        <v>343</v>
      </c>
      <c r="L45" s="5">
        <v>-27.341999999999999</v>
      </c>
      <c r="M45" s="5">
        <v>151.56700000000001</v>
      </c>
      <c r="N45" s="14"/>
      <c r="O45" s="3"/>
      <c r="P45" s="3"/>
      <c r="Q45" s="3"/>
      <c r="R45" s="3"/>
      <c r="S45" s="3"/>
      <c r="T45" s="3"/>
      <c r="U45" s="3" t="s">
        <v>41</v>
      </c>
      <c r="V45" s="3" t="s">
        <v>70</v>
      </c>
      <c r="W45" s="3"/>
      <c r="X45" s="6"/>
      <c r="Y45" s="7"/>
      <c r="Z45" s="7"/>
      <c r="AA45" s="7"/>
      <c r="AB45" s="7"/>
      <c r="AC45" s="8" t="s">
        <v>165</v>
      </c>
      <c r="AD45" s="2" t="s">
        <v>113</v>
      </c>
      <c r="AE45" s="9" t="str">
        <f t="shared" si="0"/>
        <v>Open in Google Maps</v>
      </c>
    </row>
    <row r="46" spans="1:31" s="140" customFormat="1" ht="66" x14ac:dyDescent="0.3">
      <c r="A46" s="1">
        <f t="shared" si="1"/>
        <v>43</v>
      </c>
      <c r="B46" s="2" t="s">
        <v>355</v>
      </c>
      <c r="C46" s="3" t="s">
        <v>356</v>
      </c>
      <c r="D46" s="3" t="s">
        <v>357</v>
      </c>
      <c r="E46" s="3" t="s">
        <v>35</v>
      </c>
      <c r="F46" s="3" t="s">
        <v>88</v>
      </c>
      <c r="G46" s="4">
        <v>46509</v>
      </c>
      <c r="H46" s="2" t="s">
        <v>67</v>
      </c>
      <c r="I46" s="2" t="s">
        <v>358</v>
      </c>
      <c r="J46" s="2" t="s">
        <v>335</v>
      </c>
      <c r="K46" s="2" t="s">
        <v>359</v>
      </c>
      <c r="L46" s="5">
        <v>-26.535299999999999</v>
      </c>
      <c r="M46" s="5">
        <v>152.7426164</v>
      </c>
      <c r="N46" s="14"/>
      <c r="O46" s="3" t="s">
        <v>44</v>
      </c>
      <c r="P46" s="3" t="s">
        <v>44</v>
      </c>
      <c r="Q46" s="3" t="s">
        <v>42</v>
      </c>
      <c r="R46" s="3" t="s">
        <v>44</v>
      </c>
      <c r="S46" s="3" t="s">
        <v>44</v>
      </c>
      <c r="T46" s="3" t="s">
        <v>44</v>
      </c>
      <c r="U46" s="3"/>
      <c r="V46" s="3" t="s">
        <v>43</v>
      </c>
      <c r="W46" s="3" t="s">
        <v>44</v>
      </c>
      <c r="X46" s="6" t="s">
        <v>44</v>
      </c>
      <c r="Y46" s="3" t="s">
        <v>44</v>
      </c>
      <c r="Z46" s="3"/>
      <c r="AA46" s="3" t="s">
        <v>44</v>
      </c>
      <c r="AB46" s="3" t="s">
        <v>44</v>
      </c>
      <c r="AC46" s="8" t="s">
        <v>360</v>
      </c>
      <c r="AD46" s="2" t="s">
        <v>63</v>
      </c>
      <c r="AE46" s="9" t="str">
        <f t="shared" si="0"/>
        <v>Open in Google Maps</v>
      </c>
    </row>
    <row r="47" spans="1:31" s="140" customFormat="1" ht="66" x14ac:dyDescent="0.3">
      <c r="A47" s="1">
        <f t="shared" si="1"/>
        <v>44</v>
      </c>
      <c r="B47" s="15" t="s">
        <v>361</v>
      </c>
      <c r="C47" s="16" t="s">
        <v>362</v>
      </c>
      <c r="D47" s="16" t="s">
        <v>363</v>
      </c>
      <c r="E47" s="16" t="s">
        <v>35</v>
      </c>
      <c r="F47" s="16" t="s">
        <v>88</v>
      </c>
      <c r="G47" s="17">
        <v>46779</v>
      </c>
      <c r="H47" s="15" t="s">
        <v>364</v>
      </c>
      <c r="I47" s="15" t="s">
        <v>365</v>
      </c>
      <c r="J47" s="15" t="s">
        <v>335</v>
      </c>
      <c r="K47" s="15" t="s">
        <v>366</v>
      </c>
      <c r="L47" s="19">
        <v>-27.1768</v>
      </c>
      <c r="M47" s="19">
        <v>152.88329999999999</v>
      </c>
      <c r="N47" s="16"/>
      <c r="O47" s="16"/>
      <c r="P47" s="16" t="s">
        <v>44</v>
      </c>
      <c r="Q47" s="55" t="s">
        <v>42</v>
      </c>
      <c r="R47" s="16" t="s">
        <v>44</v>
      </c>
      <c r="S47" s="16" t="s">
        <v>44</v>
      </c>
      <c r="T47" s="16" t="s">
        <v>44</v>
      </c>
      <c r="U47" s="16" t="s">
        <v>44</v>
      </c>
      <c r="V47" s="16" t="s">
        <v>43</v>
      </c>
      <c r="W47" s="16" t="s">
        <v>44</v>
      </c>
      <c r="X47" s="20" t="s">
        <v>44</v>
      </c>
      <c r="Y47" s="16" t="s">
        <v>44</v>
      </c>
      <c r="Z47" s="16"/>
      <c r="AA47" s="16" t="s">
        <v>44</v>
      </c>
      <c r="AB47" s="16" t="s">
        <v>44</v>
      </c>
      <c r="AC47" s="65" t="s">
        <v>367</v>
      </c>
      <c r="AD47" s="15" t="s">
        <v>247</v>
      </c>
      <c r="AE47" s="9" t="str">
        <f t="shared" si="0"/>
        <v>Open in Google Maps</v>
      </c>
    </row>
    <row r="48" spans="1:31" s="140" customFormat="1" ht="66" x14ac:dyDescent="0.3">
      <c r="A48" s="1">
        <f t="shared" si="1"/>
        <v>45</v>
      </c>
      <c r="B48" s="2" t="s">
        <v>368</v>
      </c>
      <c r="C48" s="3" t="s">
        <v>369</v>
      </c>
      <c r="D48" s="3" t="s">
        <v>370</v>
      </c>
      <c r="E48" s="3" t="s">
        <v>35</v>
      </c>
      <c r="F48" s="3" t="s">
        <v>88</v>
      </c>
      <c r="G48" s="4">
        <v>46324</v>
      </c>
      <c r="H48" s="2" t="s">
        <v>280</v>
      </c>
      <c r="I48" s="2" t="s">
        <v>371</v>
      </c>
      <c r="J48" s="2" t="s">
        <v>335</v>
      </c>
      <c r="K48" s="2" t="s">
        <v>343</v>
      </c>
      <c r="L48" s="5">
        <v>-27.822299999999998</v>
      </c>
      <c r="M48" s="5">
        <v>153.21863999999999</v>
      </c>
      <c r="N48" s="3"/>
      <c r="O48" s="3" t="s">
        <v>44</v>
      </c>
      <c r="P48" s="3"/>
      <c r="Q48" s="3" t="s">
        <v>42</v>
      </c>
      <c r="R48" s="3" t="s">
        <v>44</v>
      </c>
      <c r="S48" s="3" t="s">
        <v>44</v>
      </c>
      <c r="T48" s="3" t="s">
        <v>44</v>
      </c>
      <c r="U48" s="3" t="s">
        <v>44</v>
      </c>
      <c r="V48" s="3" t="s">
        <v>43</v>
      </c>
      <c r="W48" s="3" t="s">
        <v>44</v>
      </c>
      <c r="X48" s="6" t="s">
        <v>44</v>
      </c>
      <c r="Y48" s="3" t="s">
        <v>44</v>
      </c>
      <c r="Z48" s="3"/>
      <c r="AA48" s="3" t="s">
        <v>44</v>
      </c>
      <c r="AB48" s="3" t="s">
        <v>44</v>
      </c>
      <c r="AC48" s="11" t="s">
        <v>372</v>
      </c>
      <c r="AD48" s="12" t="s">
        <v>247</v>
      </c>
      <c r="AE48" s="9" t="str">
        <f t="shared" si="0"/>
        <v>Open in Google Maps</v>
      </c>
    </row>
    <row r="49" spans="1:31" s="140" customFormat="1" ht="66" x14ac:dyDescent="0.3">
      <c r="A49" s="1">
        <f t="shared" si="1"/>
        <v>46</v>
      </c>
      <c r="B49" s="2" t="s">
        <v>373</v>
      </c>
      <c r="C49" s="3" t="s">
        <v>374</v>
      </c>
      <c r="D49" s="3" t="s">
        <v>375</v>
      </c>
      <c r="E49" s="3" t="s">
        <v>35</v>
      </c>
      <c r="F49" s="13" t="s">
        <v>88</v>
      </c>
      <c r="G49" s="4">
        <v>46296</v>
      </c>
      <c r="H49" s="2" t="s">
        <v>364</v>
      </c>
      <c r="I49" s="2" t="s">
        <v>376</v>
      </c>
      <c r="J49" s="2" t="s">
        <v>335</v>
      </c>
      <c r="K49" s="2" t="s">
        <v>336</v>
      </c>
      <c r="L49" s="5">
        <v>-27.233000000000001</v>
      </c>
      <c r="M49" s="5">
        <v>152.90799999999999</v>
      </c>
      <c r="N49" s="3"/>
      <c r="O49" s="3" t="s">
        <v>44</v>
      </c>
      <c r="P49" s="3"/>
      <c r="Q49" s="3" t="s">
        <v>42</v>
      </c>
      <c r="R49" s="3" t="s">
        <v>44</v>
      </c>
      <c r="S49" s="3" t="s">
        <v>44</v>
      </c>
      <c r="T49" s="3" t="s">
        <v>44</v>
      </c>
      <c r="U49" s="3" t="s">
        <v>44</v>
      </c>
      <c r="V49" s="3" t="s">
        <v>43</v>
      </c>
      <c r="W49" s="3" t="s">
        <v>44</v>
      </c>
      <c r="X49" s="6" t="s">
        <v>44</v>
      </c>
      <c r="Y49" s="3" t="s">
        <v>44</v>
      </c>
      <c r="Z49" s="7"/>
      <c r="AA49" s="3" t="s">
        <v>44</v>
      </c>
      <c r="AB49" s="3" t="s">
        <v>44</v>
      </c>
      <c r="AC49" s="11" t="s">
        <v>377</v>
      </c>
      <c r="AD49" s="12" t="s">
        <v>247</v>
      </c>
      <c r="AE49" s="9" t="str">
        <f t="shared" si="0"/>
        <v>Open in Google Maps</v>
      </c>
    </row>
    <row r="50" spans="1:31" s="140" customFormat="1" ht="66" x14ac:dyDescent="0.3">
      <c r="A50" s="1">
        <f t="shared" si="1"/>
        <v>47</v>
      </c>
      <c r="B50" s="2" t="s">
        <v>378</v>
      </c>
      <c r="C50" s="3" t="s">
        <v>379</v>
      </c>
      <c r="D50" s="3" t="s">
        <v>380</v>
      </c>
      <c r="E50" s="3" t="s">
        <v>35</v>
      </c>
      <c r="F50" s="3" t="s">
        <v>88</v>
      </c>
      <c r="G50" s="4">
        <v>46201</v>
      </c>
      <c r="H50" s="2" t="s">
        <v>381</v>
      </c>
      <c r="I50" s="2" t="s">
        <v>382</v>
      </c>
      <c r="J50" s="2" t="s">
        <v>335</v>
      </c>
      <c r="K50" s="2" t="s">
        <v>336</v>
      </c>
      <c r="L50" s="5">
        <v>-27.752199999999998</v>
      </c>
      <c r="M50" s="5">
        <v>152.744</v>
      </c>
      <c r="N50" s="3"/>
      <c r="O50" s="3"/>
      <c r="P50" s="3"/>
      <c r="Q50" s="3" t="s">
        <v>42</v>
      </c>
      <c r="R50" s="3" t="s">
        <v>44</v>
      </c>
      <c r="S50" s="3"/>
      <c r="T50" s="3"/>
      <c r="U50" s="3"/>
      <c r="V50" s="3" t="s">
        <v>43</v>
      </c>
      <c r="W50" s="3" t="s">
        <v>44</v>
      </c>
      <c r="X50" s="6" t="s">
        <v>44</v>
      </c>
      <c r="Y50" s="3"/>
      <c r="Z50" s="3"/>
      <c r="AA50" s="29" t="s">
        <v>44</v>
      </c>
      <c r="AB50" s="29"/>
      <c r="AC50" s="11" t="s">
        <v>255</v>
      </c>
      <c r="AD50" s="12" t="s">
        <v>113</v>
      </c>
      <c r="AE50" s="9" t="str">
        <f t="shared" si="0"/>
        <v>Open in Google Maps</v>
      </c>
    </row>
    <row r="51" spans="1:31" s="140" customFormat="1" ht="66" x14ac:dyDescent="0.3">
      <c r="A51" s="1">
        <f t="shared" si="1"/>
        <v>48</v>
      </c>
      <c r="B51" s="2" t="s">
        <v>383</v>
      </c>
      <c r="C51" s="3" t="s">
        <v>384</v>
      </c>
      <c r="D51" s="3" t="s">
        <v>385</v>
      </c>
      <c r="E51" s="3" t="s">
        <v>35</v>
      </c>
      <c r="F51" s="3" t="s">
        <v>386</v>
      </c>
      <c r="G51" s="4">
        <v>46572</v>
      </c>
      <c r="H51" s="77" t="s">
        <v>387</v>
      </c>
      <c r="I51" s="2" t="s">
        <v>388</v>
      </c>
      <c r="J51" s="2" t="s">
        <v>335</v>
      </c>
      <c r="K51" s="2" t="s">
        <v>389</v>
      </c>
      <c r="L51" s="5">
        <v>-16.928011000000001</v>
      </c>
      <c r="M51" s="5">
        <v>145.68350000000001</v>
      </c>
      <c r="N51" s="3"/>
      <c r="O51" s="3" t="s">
        <v>44</v>
      </c>
      <c r="P51" s="3" t="s">
        <v>44</v>
      </c>
      <c r="Q51" s="3" t="s">
        <v>42</v>
      </c>
      <c r="R51" s="3" t="s">
        <v>44</v>
      </c>
      <c r="S51" s="3" t="s">
        <v>44</v>
      </c>
      <c r="T51" s="3" t="s">
        <v>44</v>
      </c>
      <c r="U51" s="3" t="s">
        <v>44</v>
      </c>
      <c r="V51" s="3" t="s">
        <v>43</v>
      </c>
      <c r="W51" s="3" t="s">
        <v>44</v>
      </c>
      <c r="X51" s="6" t="s">
        <v>44</v>
      </c>
      <c r="Y51" s="3"/>
      <c r="Z51" s="7"/>
      <c r="AA51" s="3" t="s">
        <v>44</v>
      </c>
      <c r="AB51" s="3" t="s">
        <v>44</v>
      </c>
      <c r="AC51" s="8" t="s">
        <v>372</v>
      </c>
      <c r="AD51" s="8" t="s">
        <v>247</v>
      </c>
      <c r="AE51" s="9" t="str">
        <f t="shared" si="0"/>
        <v>Open in Google Maps</v>
      </c>
    </row>
    <row r="52" spans="1:31" s="140" customFormat="1" ht="66" x14ac:dyDescent="0.3">
      <c r="A52" s="1">
        <f t="shared" si="1"/>
        <v>49</v>
      </c>
      <c r="B52" s="2" t="s">
        <v>390</v>
      </c>
      <c r="C52" s="3" t="s">
        <v>391</v>
      </c>
      <c r="D52" s="3" t="s">
        <v>392</v>
      </c>
      <c r="E52" s="3" t="s">
        <v>35</v>
      </c>
      <c r="F52" s="3" t="s">
        <v>303</v>
      </c>
      <c r="G52" s="4">
        <v>46346</v>
      </c>
      <c r="H52" s="2" t="s">
        <v>50</v>
      </c>
      <c r="I52" s="2" t="s">
        <v>393</v>
      </c>
      <c r="J52" s="2" t="s">
        <v>342</v>
      </c>
      <c r="K52" s="2" t="s">
        <v>336</v>
      </c>
      <c r="L52" s="5">
        <v>-19.371907</v>
      </c>
      <c r="M52" s="5">
        <v>146.826988</v>
      </c>
      <c r="N52" s="3"/>
      <c r="O52" s="3" t="s">
        <v>44</v>
      </c>
      <c r="P52" s="3"/>
      <c r="Q52" s="3" t="s">
        <v>42</v>
      </c>
      <c r="R52" s="3" t="s">
        <v>44</v>
      </c>
      <c r="S52" s="3" t="s">
        <v>44</v>
      </c>
      <c r="T52" s="3" t="s">
        <v>44</v>
      </c>
      <c r="U52" s="3" t="s">
        <v>44</v>
      </c>
      <c r="V52" s="3" t="s">
        <v>43</v>
      </c>
      <c r="W52" s="3" t="s">
        <v>44</v>
      </c>
      <c r="X52" s="6" t="s">
        <v>44</v>
      </c>
      <c r="Y52" s="3" t="s">
        <v>44</v>
      </c>
      <c r="Z52" s="7"/>
      <c r="AA52" s="29" t="s">
        <v>44</v>
      </c>
      <c r="AB52" s="29" t="s">
        <v>44</v>
      </c>
      <c r="AC52" s="11" t="s">
        <v>394</v>
      </c>
      <c r="AD52" s="12" t="s">
        <v>209</v>
      </c>
      <c r="AE52" s="9" t="str">
        <f t="shared" si="0"/>
        <v>Open in Google Maps</v>
      </c>
    </row>
    <row r="53" spans="1:31" s="141" customFormat="1" ht="66" x14ac:dyDescent="0.3">
      <c r="A53" s="1">
        <f t="shared" si="1"/>
        <v>50</v>
      </c>
      <c r="B53" s="2" t="s">
        <v>395</v>
      </c>
      <c r="C53" s="3" t="s">
        <v>396</v>
      </c>
      <c r="D53" s="3" t="s">
        <v>397</v>
      </c>
      <c r="E53" s="3" t="s">
        <v>35</v>
      </c>
      <c r="F53" s="3" t="s">
        <v>36</v>
      </c>
      <c r="G53" s="4">
        <v>46543</v>
      </c>
      <c r="H53" s="2" t="s">
        <v>398</v>
      </c>
      <c r="I53" s="2" t="s">
        <v>399</v>
      </c>
      <c r="J53" s="2" t="s">
        <v>335</v>
      </c>
      <c r="K53" s="2" t="s">
        <v>366</v>
      </c>
      <c r="L53" s="5">
        <v>-16.969845705179999</v>
      </c>
      <c r="M53" s="5">
        <v>145.53667579028999</v>
      </c>
      <c r="N53" s="14"/>
      <c r="O53" s="3" t="s">
        <v>44</v>
      </c>
      <c r="P53" s="3"/>
      <c r="Q53" s="3" t="s">
        <v>42</v>
      </c>
      <c r="R53" s="3" t="s">
        <v>44</v>
      </c>
      <c r="S53" s="3" t="s">
        <v>44</v>
      </c>
      <c r="T53" s="3" t="s">
        <v>44</v>
      </c>
      <c r="U53" s="3"/>
      <c r="V53" s="3" t="s">
        <v>43</v>
      </c>
      <c r="W53" s="3" t="s">
        <v>44</v>
      </c>
      <c r="X53" s="6" t="s">
        <v>44</v>
      </c>
      <c r="Y53" s="6"/>
      <c r="Z53" s="3"/>
      <c r="AA53" s="3" t="s">
        <v>44</v>
      </c>
      <c r="AB53" s="3" t="s">
        <v>44</v>
      </c>
      <c r="AC53" s="8" t="s">
        <v>255</v>
      </c>
      <c r="AD53" s="2" t="s">
        <v>113</v>
      </c>
      <c r="AE53" s="9" t="str">
        <f t="shared" si="0"/>
        <v>Open in Google Maps</v>
      </c>
    </row>
    <row r="54" spans="1:31" s="140" customFormat="1" ht="33.6" customHeight="1" x14ac:dyDescent="0.3">
      <c r="A54" s="1">
        <f t="shared" si="1"/>
        <v>51</v>
      </c>
      <c r="B54" s="78" t="s">
        <v>400</v>
      </c>
      <c r="C54" s="79" t="s">
        <v>401</v>
      </c>
      <c r="D54" s="79" t="s">
        <v>402</v>
      </c>
      <c r="E54" s="79" t="s">
        <v>35</v>
      </c>
      <c r="F54" s="55" t="s">
        <v>36</v>
      </c>
      <c r="G54" s="17">
        <v>46683</v>
      </c>
      <c r="H54" s="78" t="s">
        <v>333</v>
      </c>
      <c r="I54" s="78" t="s">
        <v>403</v>
      </c>
      <c r="J54" s="15" t="s">
        <v>335</v>
      </c>
      <c r="K54" s="15" t="s">
        <v>350</v>
      </c>
      <c r="L54" s="44">
        <v>-24.8779</v>
      </c>
      <c r="M54" s="44">
        <v>152.297</v>
      </c>
      <c r="N54" s="79"/>
      <c r="O54" s="79"/>
      <c r="P54" s="79"/>
      <c r="Q54" s="79"/>
      <c r="R54" s="79"/>
      <c r="S54" s="79" t="s">
        <v>44</v>
      </c>
      <c r="T54" s="79" t="s">
        <v>44</v>
      </c>
      <c r="U54" s="79" t="s">
        <v>41</v>
      </c>
      <c r="V54" s="79" t="s">
        <v>149</v>
      </c>
      <c r="W54" s="79"/>
      <c r="X54" s="80"/>
      <c r="Y54" s="7"/>
      <c r="Z54" s="7"/>
      <c r="AA54" s="79"/>
      <c r="AB54" s="79" t="s">
        <v>44</v>
      </c>
      <c r="AC54" s="37" t="s">
        <v>404</v>
      </c>
      <c r="AD54" s="81" t="s">
        <v>55</v>
      </c>
      <c r="AE54" s="9" t="str">
        <f t="shared" si="0"/>
        <v>Open in Google Maps</v>
      </c>
    </row>
    <row r="55" spans="1:31" s="140" customFormat="1" ht="66" x14ac:dyDescent="0.3">
      <c r="A55" s="1">
        <f t="shared" si="1"/>
        <v>52</v>
      </c>
      <c r="B55" s="41" t="s">
        <v>405</v>
      </c>
      <c r="C55" s="42" t="s">
        <v>406</v>
      </c>
      <c r="D55" s="42" t="s">
        <v>407</v>
      </c>
      <c r="E55" s="42" t="s">
        <v>35</v>
      </c>
      <c r="F55" s="55" t="s">
        <v>88</v>
      </c>
      <c r="G55" s="43">
        <v>46298</v>
      </c>
      <c r="H55" s="41" t="s">
        <v>272</v>
      </c>
      <c r="I55" s="41" t="s">
        <v>408</v>
      </c>
      <c r="J55" s="15" t="s">
        <v>335</v>
      </c>
      <c r="K55" s="41" t="s">
        <v>409</v>
      </c>
      <c r="L55" s="44">
        <v>-27.553070999999999</v>
      </c>
      <c r="M55" s="44">
        <v>151.814516</v>
      </c>
      <c r="N55" s="42"/>
      <c r="O55" s="42" t="s">
        <v>44</v>
      </c>
      <c r="P55" s="42"/>
      <c r="Q55" s="55" t="s">
        <v>42</v>
      </c>
      <c r="R55" s="42" t="s">
        <v>44</v>
      </c>
      <c r="S55" s="42" t="s">
        <v>44</v>
      </c>
      <c r="T55" s="42" t="s">
        <v>44</v>
      </c>
      <c r="U55" s="42" t="s">
        <v>44</v>
      </c>
      <c r="V55" s="42" t="s">
        <v>43</v>
      </c>
      <c r="W55" s="42" t="s">
        <v>44</v>
      </c>
      <c r="X55" s="45" t="s">
        <v>44</v>
      </c>
      <c r="Y55" s="42" t="s">
        <v>44</v>
      </c>
      <c r="Z55" s="42"/>
      <c r="AA55" s="42" t="s">
        <v>44</v>
      </c>
      <c r="AB55" s="42" t="s">
        <v>44</v>
      </c>
      <c r="AC55" s="46" t="s">
        <v>165</v>
      </c>
      <c r="AD55" s="47" t="s">
        <v>113</v>
      </c>
      <c r="AE55" s="9" t="str">
        <f t="shared" si="0"/>
        <v>Open in Google Maps</v>
      </c>
    </row>
    <row r="56" spans="1:31" s="140" customFormat="1" ht="66" x14ac:dyDescent="0.3">
      <c r="A56" s="1">
        <f t="shared" si="1"/>
        <v>53</v>
      </c>
      <c r="B56" s="72" t="s">
        <v>410</v>
      </c>
      <c r="C56" s="30" t="s">
        <v>411</v>
      </c>
      <c r="D56" s="30" t="s">
        <v>412</v>
      </c>
      <c r="E56" s="30" t="s">
        <v>35</v>
      </c>
      <c r="F56" s="3" t="s">
        <v>88</v>
      </c>
      <c r="G56" s="67">
        <v>46733</v>
      </c>
      <c r="H56" s="72" t="s">
        <v>280</v>
      </c>
      <c r="I56" s="72" t="s">
        <v>413</v>
      </c>
      <c r="J56" s="2" t="s">
        <v>335</v>
      </c>
      <c r="K56" s="72" t="s">
        <v>366</v>
      </c>
      <c r="L56" s="73">
        <v>-28.114312999999999</v>
      </c>
      <c r="M56" s="73">
        <v>153.42676399999999</v>
      </c>
      <c r="N56" s="30"/>
      <c r="O56" s="30" t="s">
        <v>44</v>
      </c>
      <c r="P56" s="30"/>
      <c r="Q56" s="13" t="s">
        <v>42</v>
      </c>
      <c r="R56" s="30" t="s">
        <v>44</v>
      </c>
      <c r="S56" s="30" t="s">
        <v>44</v>
      </c>
      <c r="T56" s="30" t="s">
        <v>44</v>
      </c>
      <c r="U56" s="30" t="s">
        <v>44</v>
      </c>
      <c r="V56" s="30" t="s">
        <v>43</v>
      </c>
      <c r="W56" s="30" t="s">
        <v>44</v>
      </c>
      <c r="X56" s="82" t="s">
        <v>44</v>
      </c>
      <c r="Y56" s="30" t="s">
        <v>44</v>
      </c>
      <c r="Z56" s="30"/>
      <c r="AA56" s="30" t="s">
        <v>44</v>
      </c>
      <c r="AB56" s="30" t="s">
        <v>44</v>
      </c>
      <c r="AC56" s="83" t="s">
        <v>414</v>
      </c>
      <c r="AD56" s="72" t="s">
        <v>247</v>
      </c>
      <c r="AE56" s="9" t="str">
        <f t="shared" si="0"/>
        <v>Open in Google Maps</v>
      </c>
    </row>
    <row r="57" spans="1:31" s="140" customFormat="1" ht="31.9" customHeight="1" x14ac:dyDescent="0.3">
      <c r="A57" s="1">
        <f t="shared" si="1"/>
        <v>54</v>
      </c>
      <c r="B57" s="2" t="s">
        <v>415</v>
      </c>
      <c r="C57" s="3" t="s">
        <v>416</v>
      </c>
      <c r="D57" s="3" t="s">
        <v>417</v>
      </c>
      <c r="E57" s="3" t="s">
        <v>35</v>
      </c>
      <c r="F57" s="3" t="s">
        <v>36</v>
      </c>
      <c r="G57" s="4">
        <v>46550</v>
      </c>
      <c r="H57" s="2" t="s">
        <v>418</v>
      </c>
      <c r="I57" s="2" t="s">
        <v>419</v>
      </c>
      <c r="J57" s="2" t="s">
        <v>415</v>
      </c>
      <c r="K57" s="2" t="s">
        <v>420</v>
      </c>
      <c r="L57" s="5">
        <v>-19.624680000000001</v>
      </c>
      <c r="M57" s="5">
        <v>147.40724</v>
      </c>
      <c r="N57" s="3"/>
      <c r="O57" s="3" t="s">
        <v>41</v>
      </c>
      <c r="P57" s="3"/>
      <c r="Q57" s="3"/>
      <c r="R57" s="3"/>
      <c r="S57" s="3" t="s">
        <v>44</v>
      </c>
      <c r="T57" s="3" t="s">
        <v>44</v>
      </c>
      <c r="U57" s="3" t="s">
        <v>41</v>
      </c>
      <c r="V57" s="3" t="s">
        <v>149</v>
      </c>
      <c r="W57" s="3"/>
      <c r="X57" s="6"/>
      <c r="Y57" s="7"/>
      <c r="Z57" s="7"/>
      <c r="AA57" s="7"/>
      <c r="AB57" s="29" t="s">
        <v>44</v>
      </c>
      <c r="AC57" s="8" t="s">
        <v>191</v>
      </c>
      <c r="AD57" s="2" t="s">
        <v>55</v>
      </c>
      <c r="AE57" s="9" t="str">
        <f t="shared" si="0"/>
        <v>Open in Google Maps</v>
      </c>
    </row>
    <row r="58" spans="1:31" s="140" customFormat="1" ht="66" x14ac:dyDescent="0.3">
      <c r="A58" s="1">
        <f t="shared" si="1"/>
        <v>55</v>
      </c>
      <c r="B58" s="2" t="s">
        <v>421</v>
      </c>
      <c r="C58" s="3" t="s">
        <v>422</v>
      </c>
      <c r="D58" s="3" t="s">
        <v>423</v>
      </c>
      <c r="E58" s="3" t="s">
        <v>35</v>
      </c>
      <c r="F58" s="3" t="s">
        <v>36</v>
      </c>
      <c r="G58" s="4">
        <v>46557</v>
      </c>
      <c r="H58" s="2" t="s">
        <v>364</v>
      </c>
      <c r="I58" s="2" t="s">
        <v>424</v>
      </c>
      <c r="J58" s="2" t="s">
        <v>425</v>
      </c>
      <c r="K58" s="2" t="s">
        <v>424</v>
      </c>
      <c r="L58" s="5">
        <v>-27.014056</v>
      </c>
      <c r="M58" s="5">
        <v>152.82005699999999</v>
      </c>
      <c r="N58" s="3"/>
      <c r="O58" s="3" t="s">
        <v>44</v>
      </c>
      <c r="P58" s="3" t="s">
        <v>44</v>
      </c>
      <c r="Q58" s="3" t="s">
        <v>42</v>
      </c>
      <c r="R58" s="3" t="s">
        <v>44</v>
      </c>
      <c r="S58" s="3" t="s">
        <v>44</v>
      </c>
      <c r="T58" s="3" t="s">
        <v>44</v>
      </c>
      <c r="U58" s="3" t="s">
        <v>44</v>
      </c>
      <c r="V58" s="3" t="s">
        <v>70</v>
      </c>
      <c r="W58" s="3" t="s">
        <v>44</v>
      </c>
      <c r="X58" s="6" t="s">
        <v>44</v>
      </c>
      <c r="Y58" s="3" t="s">
        <v>44</v>
      </c>
      <c r="Z58" s="7"/>
      <c r="AA58" s="3" t="s">
        <v>44</v>
      </c>
      <c r="AB58" s="3" t="s">
        <v>44</v>
      </c>
      <c r="AC58" s="11" t="s">
        <v>426</v>
      </c>
      <c r="AD58" s="12" t="s">
        <v>427</v>
      </c>
      <c r="AE58" s="9" t="str">
        <f t="shared" si="0"/>
        <v>Open in Google Maps</v>
      </c>
    </row>
    <row r="59" spans="1:31" s="140" customFormat="1" ht="66" x14ac:dyDescent="0.3">
      <c r="A59" s="1">
        <f t="shared" si="1"/>
        <v>56</v>
      </c>
      <c r="B59" s="2" t="s">
        <v>428</v>
      </c>
      <c r="C59" s="3" t="s">
        <v>429</v>
      </c>
      <c r="D59" s="3" t="s">
        <v>430</v>
      </c>
      <c r="E59" s="3" t="s">
        <v>35</v>
      </c>
      <c r="F59" s="16" t="s">
        <v>36</v>
      </c>
      <c r="G59" s="4">
        <v>46313</v>
      </c>
      <c r="H59" s="2" t="s">
        <v>304</v>
      </c>
      <c r="I59" s="2" t="s">
        <v>431</v>
      </c>
      <c r="J59" s="2" t="s">
        <v>432</v>
      </c>
      <c r="K59" s="2" t="s">
        <v>433</v>
      </c>
      <c r="L59" s="5">
        <v>-28.382110999999998</v>
      </c>
      <c r="M59" s="5">
        <v>151.91499999999999</v>
      </c>
      <c r="N59" s="3"/>
      <c r="O59" s="3" t="s">
        <v>44</v>
      </c>
      <c r="P59" s="3"/>
      <c r="Q59" s="3" t="s">
        <v>42</v>
      </c>
      <c r="R59" s="3" t="s">
        <v>44</v>
      </c>
      <c r="S59" s="3"/>
      <c r="T59" s="3"/>
      <c r="U59" s="3" t="s">
        <v>41</v>
      </c>
      <c r="V59" s="3" t="s">
        <v>70</v>
      </c>
      <c r="W59" s="3" t="s">
        <v>44</v>
      </c>
      <c r="X59" s="6" t="s">
        <v>44</v>
      </c>
      <c r="Y59" s="7"/>
      <c r="Z59" s="7"/>
      <c r="AA59" s="7"/>
      <c r="AB59" s="7"/>
      <c r="AC59" s="11" t="s">
        <v>434</v>
      </c>
      <c r="AD59" s="12" t="s">
        <v>247</v>
      </c>
      <c r="AE59" s="9" t="str">
        <f t="shared" si="0"/>
        <v>Open in Google Maps</v>
      </c>
    </row>
    <row r="60" spans="1:31" s="140" customFormat="1" ht="49.15" customHeight="1" x14ac:dyDescent="0.3">
      <c r="A60" s="1">
        <f t="shared" si="1"/>
        <v>57</v>
      </c>
      <c r="B60" s="2" t="s">
        <v>435</v>
      </c>
      <c r="C60" s="3" t="s">
        <v>436</v>
      </c>
      <c r="D60" s="3" t="s">
        <v>437</v>
      </c>
      <c r="E60" s="3" t="s">
        <v>35</v>
      </c>
      <c r="F60" s="3" t="s">
        <v>303</v>
      </c>
      <c r="G60" s="4">
        <v>46506</v>
      </c>
      <c r="H60" s="2" t="s">
        <v>364</v>
      </c>
      <c r="I60" s="2" t="s">
        <v>438</v>
      </c>
      <c r="J60" s="2" t="s">
        <v>439</v>
      </c>
      <c r="K60" s="2" t="s">
        <v>438</v>
      </c>
      <c r="L60" s="84">
        <v>-27.321999999999999</v>
      </c>
      <c r="M60" s="5">
        <v>152.994</v>
      </c>
      <c r="N60" s="14"/>
      <c r="O60" s="3" t="s">
        <v>41</v>
      </c>
      <c r="P60" s="3"/>
      <c r="Q60" s="3" t="s">
        <v>41</v>
      </c>
      <c r="R60" s="3" t="s">
        <v>44</v>
      </c>
      <c r="S60" s="3" t="s">
        <v>44</v>
      </c>
      <c r="T60" s="3" t="s">
        <v>44</v>
      </c>
      <c r="U60" s="3" t="s">
        <v>41</v>
      </c>
      <c r="V60" s="3" t="s">
        <v>149</v>
      </c>
      <c r="W60" s="3"/>
      <c r="X60" s="6"/>
      <c r="Y60" s="7"/>
      <c r="Z60" s="7"/>
      <c r="AA60" s="7"/>
      <c r="AB60" s="7"/>
      <c r="AC60" s="8" t="s">
        <v>440</v>
      </c>
      <c r="AD60" s="2" t="s">
        <v>247</v>
      </c>
      <c r="AE60" s="9" t="str">
        <f t="shared" si="0"/>
        <v>Open in Google Maps</v>
      </c>
    </row>
    <row r="61" spans="1:31" s="140" customFormat="1" ht="66" x14ac:dyDescent="0.3">
      <c r="A61" s="1">
        <f t="shared" si="1"/>
        <v>58</v>
      </c>
      <c r="B61" s="72" t="s">
        <v>441</v>
      </c>
      <c r="C61" s="30" t="s">
        <v>442</v>
      </c>
      <c r="D61" s="30" t="s">
        <v>443</v>
      </c>
      <c r="E61" s="30" t="s">
        <v>35</v>
      </c>
      <c r="F61" s="3" t="s">
        <v>88</v>
      </c>
      <c r="G61" s="67">
        <v>46708</v>
      </c>
      <c r="H61" s="72" t="s">
        <v>75</v>
      </c>
      <c r="I61" s="72" t="s">
        <v>444</v>
      </c>
      <c r="J61" s="72" t="s">
        <v>439</v>
      </c>
      <c r="K61" s="72" t="s">
        <v>445</v>
      </c>
      <c r="L61" s="73">
        <v>-27.9937</v>
      </c>
      <c r="M61" s="73">
        <v>152.93646000000001</v>
      </c>
      <c r="N61" s="30"/>
      <c r="O61" s="85"/>
      <c r="P61" s="85"/>
      <c r="Q61" s="13" t="s">
        <v>42</v>
      </c>
      <c r="R61" s="30" t="s">
        <v>44</v>
      </c>
      <c r="S61" s="30" t="s">
        <v>44</v>
      </c>
      <c r="T61" s="30" t="s">
        <v>44</v>
      </c>
      <c r="U61" s="30" t="s">
        <v>41</v>
      </c>
      <c r="V61" s="30" t="s">
        <v>43</v>
      </c>
      <c r="W61" s="30"/>
      <c r="X61" s="82"/>
      <c r="Y61" s="7"/>
      <c r="Z61" s="7"/>
      <c r="AA61" s="7"/>
      <c r="AB61" s="7"/>
      <c r="AC61" s="83" t="s">
        <v>165</v>
      </c>
      <c r="AD61" s="72" t="s">
        <v>113</v>
      </c>
      <c r="AE61" s="9" t="str">
        <f t="shared" si="0"/>
        <v>Open in Google Maps</v>
      </c>
    </row>
    <row r="62" spans="1:31" s="140" customFormat="1" ht="66" x14ac:dyDescent="0.3">
      <c r="A62" s="1">
        <f t="shared" si="1"/>
        <v>59</v>
      </c>
      <c r="B62" s="72" t="s">
        <v>446</v>
      </c>
      <c r="C62" s="30" t="s">
        <v>447</v>
      </c>
      <c r="D62" s="30" t="s">
        <v>448</v>
      </c>
      <c r="E62" s="30" t="s">
        <v>35</v>
      </c>
      <c r="F62" s="3" t="s">
        <v>303</v>
      </c>
      <c r="G62" s="67">
        <v>46730</v>
      </c>
      <c r="H62" s="72" t="s">
        <v>75</v>
      </c>
      <c r="I62" s="72" t="s">
        <v>449</v>
      </c>
      <c r="J62" s="72" t="s">
        <v>450</v>
      </c>
      <c r="K62" s="72" t="s">
        <v>449</v>
      </c>
      <c r="L62" s="73">
        <v>-27.997869000000001</v>
      </c>
      <c r="M62" s="73">
        <v>152.93475000000001</v>
      </c>
      <c r="N62" s="30"/>
      <c r="O62" s="30"/>
      <c r="P62" s="30"/>
      <c r="Q62" s="13" t="s">
        <v>42</v>
      </c>
      <c r="R62" s="30" t="s">
        <v>44</v>
      </c>
      <c r="S62" s="30" t="s">
        <v>44</v>
      </c>
      <c r="T62" s="30" t="s">
        <v>44</v>
      </c>
      <c r="U62" s="30"/>
      <c r="V62" s="30" t="s">
        <v>43</v>
      </c>
      <c r="W62" s="30" t="s">
        <v>44</v>
      </c>
      <c r="X62" s="82" t="s">
        <v>44</v>
      </c>
      <c r="Y62" s="7"/>
      <c r="Z62" s="7"/>
      <c r="AA62" s="30" t="s">
        <v>44</v>
      </c>
      <c r="AB62" s="30" t="s">
        <v>44</v>
      </c>
      <c r="AC62" s="74" t="s">
        <v>165</v>
      </c>
      <c r="AD62" s="75" t="s">
        <v>113</v>
      </c>
      <c r="AE62" s="9" t="str">
        <f t="shared" si="0"/>
        <v>Open in Google Maps</v>
      </c>
    </row>
    <row r="63" spans="1:31" s="140" customFormat="1" ht="49.15" customHeight="1" x14ac:dyDescent="0.3">
      <c r="A63" s="1">
        <f t="shared" si="1"/>
        <v>60</v>
      </c>
      <c r="B63" s="2" t="s">
        <v>451</v>
      </c>
      <c r="C63" s="3" t="s">
        <v>452</v>
      </c>
      <c r="D63" s="3" t="s">
        <v>453</v>
      </c>
      <c r="E63" s="3" t="s">
        <v>35</v>
      </c>
      <c r="F63" s="3" t="s">
        <v>303</v>
      </c>
      <c r="G63" s="4">
        <v>46646</v>
      </c>
      <c r="H63" s="2" t="s">
        <v>50</v>
      </c>
      <c r="I63" s="2" t="s">
        <v>454</v>
      </c>
      <c r="J63" s="2" t="s">
        <v>455</v>
      </c>
      <c r="K63" s="2" t="s">
        <v>456</v>
      </c>
      <c r="L63" s="5">
        <v>-19.383800000000001</v>
      </c>
      <c r="M63" s="5">
        <v>146.83920000000001</v>
      </c>
      <c r="N63" s="3"/>
      <c r="O63" s="3"/>
      <c r="P63" s="3"/>
      <c r="Q63" s="3"/>
      <c r="R63" s="3"/>
      <c r="S63" s="3"/>
      <c r="T63" s="3"/>
      <c r="U63" s="3" t="s">
        <v>41</v>
      </c>
      <c r="V63" s="3" t="s">
        <v>70</v>
      </c>
      <c r="W63" s="3" t="s">
        <v>44</v>
      </c>
      <c r="X63" s="6" t="s">
        <v>44</v>
      </c>
      <c r="Y63" s="7"/>
      <c r="Z63" s="7"/>
      <c r="AA63" s="7"/>
      <c r="AB63" s="7"/>
      <c r="AC63" s="8" t="s">
        <v>457</v>
      </c>
      <c r="AD63" s="2" t="s">
        <v>209</v>
      </c>
      <c r="AE63" s="9" t="str">
        <f t="shared" si="0"/>
        <v>Open in Google Maps</v>
      </c>
    </row>
    <row r="64" spans="1:31" s="141" customFormat="1" ht="66" x14ac:dyDescent="0.3">
      <c r="A64" s="1">
        <f t="shared" si="1"/>
        <v>61</v>
      </c>
      <c r="B64" s="72" t="s">
        <v>458</v>
      </c>
      <c r="C64" s="30" t="s">
        <v>459</v>
      </c>
      <c r="D64" s="30" t="s">
        <v>460</v>
      </c>
      <c r="E64" s="30" t="s">
        <v>202</v>
      </c>
      <c r="F64" s="3" t="s">
        <v>36</v>
      </c>
      <c r="G64" s="67">
        <v>46076</v>
      </c>
      <c r="H64" s="72" t="s">
        <v>272</v>
      </c>
      <c r="I64" s="72" t="s">
        <v>461</v>
      </c>
      <c r="J64" s="72" t="s">
        <v>462</v>
      </c>
      <c r="K64" s="72" t="s">
        <v>275</v>
      </c>
      <c r="L64" s="73">
        <v>-27.7483</v>
      </c>
      <c r="M64" s="73">
        <v>151.5984</v>
      </c>
      <c r="N64" s="30"/>
      <c r="O64" s="30" t="s">
        <v>44</v>
      </c>
      <c r="P64" s="30"/>
      <c r="Q64" s="13" t="s">
        <v>42</v>
      </c>
      <c r="R64" s="30" t="s">
        <v>44</v>
      </c>
      <c r="S64" s="30" t="s">
        <v>44</v>
      </c>
      <c r="T64" s="30" t="s">
        <v>44</v>
      </c>
      <c r="U64" s="30"/>
      <c r="V64" s="30" t="s">
        <v>70</v>
      </c>
      <c r="W64" s="30" t="s">
        <v>44</v>
      </c>
      <c r="X64" s="82" t="s">
        <v>44</v>
      </c>
      <c r="Y64" s="7"/>
      <c r="Z64" s="7"/>
      <c r="AA64" s="7"/>
      <c r="AB64" s="7"/>
      <c r="AC64" s="74" t="s">
        <v>463</v>
      </c>
      <c r="AD64" s="75" t="s">
        <v>113</v>
      </c>
      <c r="AE64" s="9" t="str">
        <f t="shared" si="0"/>
        <v>Open in Google Maps</v>
      </c>
    </row>
    <row r="65" spans="1:31" s="140" customFormat="1" ht="115.5" x14ac:dyDescent="0.3">
      <c r="A65" s="1">
        <f t="shared" si="1"/>
        <v>62</v>
      </c>
      <c r="B65" s="2" t="s">
        <v>464</v>
      </c>
      <c r="C65" s="3" t="s">
        <v>465</v>
      </c>
      <c r="D65" s="3" t="s">
        <v>466</v>
      </c>
      <c r="E65" s="3" t="s">
        <v>35</v>
      </c>
      <c r="F65" s="3" t="s">
        <v>36</v>
      </c>
      <c r="G65" s="4">
        <v>46509</v>
      </c>
      <c r="H65" s="2" t="s">
        <v>467</v>
      </c>
      <c r="I65" s="2" t="s">
        <v>468</v>
      </c>
      <c r="J65" s="2" t="s">
        <v>469</v>
      </c>
      <c r="K65" s="2" t="s">
        <v>470</v>
      </c>
      <c r="L65" s="5">
        <v>-18.648</v>
      </c>
      <c r="M65" s="5">
        <v>139.00540000000001</v>
      </c>
      <c r="N65" s="14"/>
      <c r="O65" s="3" t="s">
        <v>41</v>
      </c>
      <c r="P65" s="3"/>
      <c r="Q65" s="3"/>
      <c r="R65" s="3" t="s">
        <v>41</v>
      </c>
      <c r="S65" s="3" t="s">
        <v>41</v>
      </c>
      <c r="T65" s="3" t="s">
        <v>41</v>
      </c>
      <c r="U65" s="3" t="s">
        <v>41</v>
      </c>
      <c r="V65" s="3" t="s">
        <v>471</v>
      </c>
      <c r="W65" s="3"/>
      <c r="X65" s="6"/>
      <c r="Y65" s="7"/>
      <c r="Z65" s="7"/>
      <c r="AA65" s="7"/>
      <c r="AB65" s="7"/>
      <c r="AC65" s="8" t="s">
        <v>472</v>
      </c>
      <c r="AD65" s="28" t="s">
        <v>140</v>
      </c>
      <c r="AE65" s="9" t="str">
        <f t="shared" si="0"/>
        <v>Open in Google Maps</v>
      </c>
    </row>
    <row r="66" spans="1:31" s="140" customFormat="1" x14ac:dyDescent="0.3">
      <c r="A66" s="1">
        <f t="shared" si="1"/>
        <v>63</v>
      </c>
      <c r="B66" s="23" t="s">
        <v>473</v>
      </c>
      <c r="C66" s="86" t="s">
        <v>474</v>
      </c>
      <c r="D66" s="13" t="s">
        <v>475</v>
      </c>
      <c r="E66" s="13" t="s">
        <v>35</v>
      </c>
      <c r="F66" s="13" t="s">
        <v>476</v>
      </c>
      <c r="G66" s="24">
        <v>46456</v>
      </c>
      <c r="H66" s="23" t="s">
        <v>67</v>
      </c>
      <c r="I66" s="23" t="s">
        <v>477</v>
      </c>
      <c r="J66" s="23" t="s">
        <v>478</v>
      </c>
      <c r="K66" s="87" t="s">
        <v>477</v>
      </c>
      <c r="L66" s="25">
        <v>-26.226600000000001</v>
      </c>
      <c r="M66" s="25">
        <v>152.68639999999999</v>
      </c>
      <c r="N66" s="13" t="s">
        <v>44</v>
      </c>
      <c r="O66" s="13"/>
      <c r="P66" s="13"/>
      <c r="Q66" s="13"/>
      <c r="R66" s="13"/>
      <c r="S66" s="13"/>
      <c r="T66" s="13"/>
      <c r="U66" s="13"/>
      <c r="V66" s="13">
        <v>2.5</v>
      </c>
      <c r="W66" s="13"/>
      <c r="X66" s="26"/>
      <c r="Y66" s="7"/>
      <c r="Z66" s="40"/>
      <c r="AA66" s="40"/>
      <c r="AB66" s="7"/>
      <c r="AC66" s="27" t="s">
        <v>98</v>
      </c>
      <c r="AD66" s="28" t="s">
        <v>99</v>
      </c>
      <c r="AE66" s="9" t="str">
        <f t="shared" si="0"/>
        <v>Open in Google Maps</v>
      </c>
    </row>
    <row r="67" spans="1:31" s="140" customFormat="1" ht="34.15" customHeight="1" x14ac:dyDescent="0.3">
      <c r="A67" s="1">
        <f t="shared" si="1"/>
        <v>64</v>
      </c>
      <c r="B67" s="23" t="s">
        <v>479</v>
      </c>
      <c r="C67" s="13" t="s">
        <v>480</v>
      </c>
      <c r="D67" s="13" t="s">
        <v>481</v>
      </c>
      <c r="E67" s="30" t="s">
        <v>35</v>
      </c>
      <c r="F67" s="13" t="s">
        <v>36</v>
      </c>
      <c r="G67" s="67">
        <v>46598</v>
      </c>
      <c r="H67" s="28" t="s">
        <v>482</v>
      </c>
      <c r="I67" s="28" t="s">
        <v>483</v>
      </c>
      <c r="J67" s="28" t="s">
        <v>484</v>
      </c>
      <c r="K67" s="28" t="s">
        <v>485</v>
      </c>
      <c r="L67" s="5">
        <v>-22.907</v>
      </c>
      <c r="M67" s="5">
        <v>139.923</v>
      </c>
      <c r="N67" s="13"/>
      <c r="O67" s="13"/>
      <c r="P67" s="13"/>
      <c r="Q67" s="13"/>
      <c r="R67" s="13"/>
      <c r="S67" s="13" t="s">
        <v>44</v>
      </c>
      <c r="T67" s="13" t="s">
        <v>44</v>
      </c>
      <c r="U67" s="13"/>
      <c r="V67" s="13"/>
      <c r="W67" s="13"/>
      <c r="X67" s="26"/>
      <c r="Y67" s="7"/>
      <c r="Z67" s="7"/>
      <c r="AA67" s="7"/>
      <c r="AB67" s="7"/>
      <c r="AC67" s="27" t="s">
        <v>486</v>
      </c>
      <c r="AD67" s="28" t="s">
        <v>55</v>
      </c>
      <c r="AE67" s="9" t="str">
        <f t="shared" si="0"/>
        <v>Open in Google Maps</v>
      </c>
    </row>
    <row r="68" spans="1:31" s="140" customFormat="1" ht="34.15" customHeight="1" x14ac:dyDescent="0.3">
      <c r="A68" s="1">
        <f t="shared" si="1"/>
        <v>65</v>
      </c>
      <c r="B68" s="2" t="s">
        <v>487</v>
      </c>
      <c r="C68" s="3" t="s">
        <v>488</v>
      </c>
      <c r="D68" s="3" t="s">
        <v>489</v>
      </c>
      <c r="E68" s="3" t="s">
        <v>35</v>
      </c>
      <c r="F68" s="3" t="s">
        <v>144</v>
      </c>
      <c r="G68" s="4">
        <v>46530</v>
      </c>
      <c r="H68" s="2" t="s">
        <v>154</v>
      </c>
      <c r="I68" s="2" t="s">
        <v>490</v>
      </c>
      <c r="J68" s="2" t="s">
        <v>491</v>
      </c>
      <c r="K68" s="2" t="s">
        <v>492</v>
      </c>
      <c r="L68" s="5">
        <v>-25.612470999999999</v>
      </c>
      <c r="M68" s="5">
        <v>151.63221999999999</v>
      </c>
      <c r="N68" s="3"/>
      <c r="O68" s="3" t="s">
        <v>41</v>
      </c>
      <c r="P68" s="3"/>
      <c r="Q68" s="3" t="s">
        <v>41</v>
      </c>
      <c r="R68" s="3"/>
      <c r="S68" s="3" t="s">
        <v>44</v>
      </c>
      <c r="T68" s="3" t="s">
        <v>44</v>
      </c>
      <c r="U68" s="3" t="s">
        <v>41</v>
      </c>
      <c r="V68" s="3" t="s">
        <v>149</v>
      </c>
      <c r="W68" s="3"/>
      <c r="X68" s="6"/>
      <c r="Y68" s="7"/>
      <c r="Z68" s="7"/>
      <c r="AA68" s="7"/>
      <c r="AB68" s="7"/>
      <c r="AC68" s="8" t="s">
        <v>493</v>
      </c>
      <c r="AD68" s="2" t="s">
        <v>55</v>
      </c>
      <c r="AE68" s="9" t="str">
        <f t="shared" ref="AE68:AE131" si="2">HYPERLINK("https://maps.google.com/?q="&amp;L68&amp;","&amp;M68,"Open in Google Maps")</f>
        <v>Open in Google Maps</v>
      </c>
    </row>
    <row r="69" spans="1:31" s="141" customFormat="1" ht="46.9" customHeight="1" x14ac:dyDescent="0.3">
      <c r="A69" s="1">
        <f t="shared" si="1"/>
        <v>66</v>
      </c>
      <c r="B69" s="15" t="s">
        <v>494</v>
      </c>
      <c r="C69" s="16" t="s">
        <v>495</v>
      </c>
      <c r="D69" s="16" t="s">
        <v>496</v>
      </c>
      <c r="E69" s="16" t="s">
        <v>35</v>
      </c>
      <c r="F69" s="17" t="s">
        <v>36</v>
      </c>
      <c r="G69" s="17">
        <v>46738</v>
      </c>
      <c r="H69" s="15" t="s">
        <v>145</v>
      </c>
      <c r="I69" s="15" t="s">
        <v>497</v>
      </c>
      <c r="J69" s="15" t="s">
        <v>498</v>
      </c>
      <c r="K69" s="15" t="s">
        <v>499</v>
      </c>
      <c r="L69" s="19">
        <v>-21.226331399999999</v>
      </c>
      <c r="M69" s="19">
        <v>149.07499999999999</v>
      </c>
      <c r="N69" s="16"/>
      <c r="O69" s="16" t="s">
        <v>41</v>
      </c>
      <c r="P69" s="16"/>
      <c r="Q69" s="16"/>
      <c r="R69" s="16" t="s">
        <v>44</v>
      </c>
      <c r="S69" s="16" t="s">
        <v>41</v>
      </c>
      <c r="T69" s="16" t="s">
        <v>41</v>
      </c>
      <c r="U69" s="16" t="s">
        <v>41</v>
      </c>
      <c r="V69" s="16" t="s">
        <v>70</v>
      </c>
      <c r="W69" s="16"/>
      <c r="X69" s="20"/>
      <c r="Y69" s="16"/>
      <c r="Z69" s="7"/>
      <c r="AA69" s="7"/>
      <c r="AB69" s="7"/>
      <c r="AC69" s="11" t="s">
        <v>500</v>
      </c>
      <c r="AD69" s="22" t="s">
        <v>247</v>
      </c>
      <c r="AE69" s="9" t="str">
        <f t="shared" si="2"/>
        <v>Open in Google Maps</v>
      </c>
    </row>
    <row r="70" spans="1:31" s="140" customFormat="1" ht="21.6" customHeight="1" x14ac:dyDescent="0.3">
      <c r="A70" s="1">
        <f t="shared" ref="A70:A133" si="3">A69+1</f>
        <v>67</v>
      </c>
      <c r="B70" s="2" t="s">
        <v>501</v>
      </c>
      <c r="C70" s="3" t="s">
        <v>502</v>
      </c>
      <c r="D70" s="3" t="s">
        <v>503</v>
      </c>
      <c r="E70" s="3" t="s">
        <v>35</v>
      </c>
      <c r="F70" s="3" t="s">
        <v>36</v>
      </c>
      <c r="G70" s="4">
        <v>46393</v>
      </c>
      <c r="H70" s="2" t="s">
        <v>188</v>
      </c>
      <c r="I70" s="2" t="s">
        <v>504</v>
      </c>
      <c r="J70" s="88" t="s">
        <v>505</v>
      </c>
      <c r="K70" s="2" t="s">
        <v>506</v>
      </c>
      <c r="L70" s="5">
        <v>-25.528833477589998</v>
      </c>
      <c r="M70" s="5">
        <v>152.67390519548999</v>
      </c>
      <c r="N70" s="3"/>
      <c r="O70" s="3" t="s">
        <v>41</v>
      </c>
      <c r="P70" s="3"/>
      <c r="Q70" s="3" t="s">
        <v>41</v>
      </c>
      <c r="R70" s="3" t="s">
        <v>44</v>
      </c>
      <c r="S70" s="3" t="s">
        <v>44</v>
      </c>
      <c r="T70" s="3" t="s">
        <v>44</v>
      </c>
      <c r="U70" s="3" t="s">
        <v>41</v>
      </c>
      <c r="V70" s="3" t="s">
        <v>149</v>
      </c>
      <c r="W70" s="3"/>
      <c r="X70" s="6"/>
      <c r="Y70" s="7"/>
      <c r="Z70" s="7"/>
      <c r="AA70" s="7"/>
      <c r="AB70" s="7"/>
      <c r="AC70" s="8" t="s">
        <v>507</v>
      </c>
      <c r="AD70" s="2" t="s">
        <v>247</v>
      </c>
      <c r="AE70" s="9" t="str">
        <f t="shared" si="2"/>
        <v>Open in Google Maps</v>
      </c>
    </row>
    <row r="71" spans="1:31" s="140" customFormat="1" ht="66" x14ac:dyDescent="0.3">
      <c r="A71" s="1">
        <f t="shared" si="3"/>
        <v>68</v>
      </c>
      <c r="B71" s="23" t="s">
        <v>508</v>
      </c>
      <c r="C71" s="13" t="s">
        <v>509</v>
      </c>
      <c r="D71" s="13" t="s">
        <v>510</v>
      </c>
      <c r="E71" s="13" t="s">
        <v>35</v>
      </c>
      <c r="F71" s="13" t="s">
        <v>36</v>
      </c>
      <c r="G71" s="24">
        <v>46115</v>
      </c>
      <c r="H71" s="28" t="s">
        <v>511</v>
      </c>
      <c r="I71" s="28" t="s">
        <v>512</v>
      </c>
      <c r="J71" s="28" t="s">
        <v>513</v>
      </c>
      <c r="K71" s="28" t="s">
        <v>514</v>
      </c>
      <c r="L71" s="25">
        <v>-30.708179999999999</v>
      </c>
      <c r="M71" s="25">
        <v>146.30632399999999</v>
      </c>
      <c r="N71" s="13"/>
      <c r="O71" s="13"/>
      <c r="P71" s="13"/>
      <c r="Q71" s="13" t="s">
        <v>42</v>
      </c>
      <c r="R71" s="13"/>
      <c r="S71" s="13"/>
      <c r="T71" s="13"/>
      <c r="U71" s="13"/>
      <c r="V71" s="13"/>
      <c r="W71" s="13"/>
      <c r="X71" s="26"/>
      <c r="Y71" s="7"/>
      <c r="Z71" s="7"/>
      <c r="AA71" s="7"/>
      <c r="AB71" s="7"/>
      <c r="AC71" s="27" t="s">
        <v>515</v>
      </c>
      <c r="AD71" s="28" t="s">
        <v>113</v>
      </c>
      <c r="AE71" s="9" t="str">
        <f t="shared" si="2"/>
        <v>Open in Google Maps</v>
      </c>
    </row>
    <row r="72" spans="1:31" s="140" customFormat="1" ht="32.450000000000003" customHeight="1" x14ac:dyDescent="0.3">
      <c r="A72" s="1">
        <f t="shared" si="3"/>
        <v>69</v>
      </c>
      <c r="B72" s="2" t="s">
        <v>516</v>
      </c>
      <c r="C72" s="3" t="s">
        <v>517</v>
      </c>
      <c r="D72" s="3" t="s">
        <v>518</v>
      </c>
      <c r="E72" s="3" t="s">
        <v>35</v>
      </c>
      <c r="F72" s="3" t="s">
        <v>36</v>
      </c>
      <c r="G72" s="4">
        <v>46647</v>
      </c>
      <c r="H72" s="2" t="s">
        <v>519</v>
      </c>
      <c r="I72" s="2" t="s">
        <v>520</v>
      </c>
      <c r="J72" s="10" t="s">
        <v>521</v>
      </c>
      <c r="K72" s="2" t="s">
        <v>522</v>
      </c>
      <c r="L72" s="5">
        <v>-23.986999999999998</v>
      </c>
      <c r="M72" s="5">
        <v>151.125</v>
      </c>
      <c r="N72" s="3"/>
      <c r="O72" s="3"/>
      <c r="P72" s="3"/>
      <c r="Q72" s="3"/>
      <c r="R72" s="3"/>
      <c r="S72" s="3" t="s">
        <v>44</v>
      </c>
      <c r="T72" s="3" t="s">
        <v>44</v>
      </c>
      <c r="U72" s="3"/>
      <c r="V72" s="3"/>
      <c r="W72" s="3"/>
      <c r="X72" s="6"/>
      <c r="Y72" s="7"/>
      <c r="Z72" s="7"/>
      <c r="AA72" s="7"/>
      <c r="AB72" s="7"/>
      <c r="AC72" s="8" t="s">
        <v>523</v>
      </c>
      <c r="AD72" s="2" t="s">
        <v>55</v>
      </c>
      <c r="AE72" s="9" t="str">
        <f t="shared" si="2"/>
        <v>Open in Google Maps</v>
      </c>
    </row>
    <row r="73" spans="1:31" s="140" customFormat="1" ht="49.5" x14ac:dyDescent="0.3">
      <c r="A73" s="1">
        <f t="shared" si="3"/>
        <v>70</v>
      </c>
      <c r="B73" s="23" t="s">
        <v>524</v>
      </c>
      <c r="C73" s="13" t="s">
        <v>525</v>
      </c>
      <c r="D73" s="13" t="s">
        <v>526</v>
      </c>
      <c r="E73" s="13" t="s">
        <v>35</v>
      </c>
      <c r="F73" s="13" t="s">
        <v>36</v>
      </c>
      <c r="G73" s="24">
        <v>46402</v>
      </c>
      <c r="H73" s="23" t="s">
        <v>50</v>
      </c>
      <c r="I73" s="23" t="s">
        <v>527</v>
      </c>
      <c r="J73" s="23" t="s">
        <v>528</v>
      </c>
      <c r="K73" s="23" t="s">
        <v>529</v>
      </c>
      <c r="L73" s="73">
        <v>-19.082678000000001</v>
      </c>
      <c r="M73" s="73">
        <v>146.43279999999999</v>
      </c>
      <c r="N73" s="13"/>
      <c r="O73" s="13"/>
      <c r="P73" s="13"/>
      <c r="Q73" s="13" t="s">
        <v>207</v>
      </c>
      <c r="R73" s="13"/>
      <c r="S73" s="13"/>
      <c r="T73" s="13"/>
      <c r="U73" s="13"/>
      <c r="V73" s="13" t="s">
        <v>70</v>
      </c>
      <c r="W73" s="13"/>
      <c r="X73" s="26"/>
      <c r="Y73" s="7"/>
      <c r="Z73" s="13"/>
      <c r="AA73" s="13"/>
      <c r="AB73" s="7"/>
      <c r="AC73" s="27" t="s">
        <v>530</v>
      </c>
      <c r="AD73" s="28" t="s">
        <v>209</v>
      </c>
      <c r="AE73" s="9" t="str">
        <f t="shared" si="2"/>
        <v>Open in Google Maps</v>
      </c>
    </row>
    <row r="74" spans="1:31" s="140" customFormat="1" ht="66" x14ac:dyDescent="0.3">
      <c r="A74" s="1">
        <f t="shared" si="3"/>
        <v>71</v>
      </c>
      <c r="B74" s="2" t="s">
        <v>531</v>
      </c>
      <c r="C74" s="3" t="s">
        <v>532</v>
      </c>
      <c r="D74" s="13" t="s">
        <v>526</v>
      </c>
      <c r="E74" s="13" t="s">
        <v>35</v>
      </c>
      <c r="F74" s="3" t="s">
        <v>36</v>
      </c>
      <c r="G74" s="4">
        <v>46402</v>
      </c>
      <c r="H74" s="2" t="s">
        <v>50</v>
      </c>
      <c r="I74" s="28" t="s">
        <v>533</v>
      </c>
      <c r="J74" s="28" t="s">
        <v>534</v>
      </c>
      <c r="K74" s="28" t="s">
        <v>533</v>
      </c>
      <c r="L74" s="5">
        <v>-19.375726</v>
      </c>
      <c r="M74" s="5">
        <v>146.82589999999999</v>
      </c>
      <c r="N74" s="13"/>
      <c r="O74" s="13" t="s">
        <v>44</v>
      </c>
      <c r="P74" s="13" t="s">
        <v>44</v>
      </c>
      <c r="Q74" s="13" t="s">
        <v>42</v>
      </c>
      <c r="R74" s="13" t="s">
        <v>44</v>
      </c>
      <c r="S74" s="13"/>
      <c r="T74" s="13" t="s">
        <v>44</v>
      </c>
      <c r="U74" s="13" t="s">
        <v>44</v>
      </c>
      <c r="V74" s="13" t="s">
        <v>43</v>
      </c>
      <c r="W74" s="13" t="s">
        <v>44</v>
      </c>
      <c r="X74" s="26" t="s">
        <v>44</v>
      </c>
      <c r="Y74" s="7"/>
      <c r="Z74" s="7"/>
      <c r="AA74" s="7"/>
      <c r="AB74" s="7"/>
      <c r="AC74" s="27" t="s">
        <v>535</v>
      </c>
      <c r="AD74" s="28" t="s">
        <v>209</v>
      </c>
      <c r="AE74" s="9" t="str">
        <f t="shared" si="2"/>
        <v>Open in Google Maps</v>
      </c>
    </row>
    <row r="75" spans="1:31" s="140" customFormat="1" ht="34.15" customHeight="1" x14ac:dyDescent="0.3">
      <c r="A75" s="1">
        <f t="shared" si="3"/>
        <v>72</v>
      </c>
      <c r="B75" s="2" t="s">
        <v>536</v>
      </c>
      <c r="C75" s="3" t="s">
        <v>537</v>
      </c>
      <c r="D75" s="3" t="s">
        <v>538</v>
      </c>
      <c r="E75" s="3" t="s">
        <v>35</v>
      </c>
      <c r="F75" s="3" t="s">
        <v>144</v>
      </c>
      <c r="G75" s="4">
        <v>46492</v>
      </c>
      <c r="H75" s="2" t="s">
        <v>50</v>
      </c>
      <c r="I75" s="2" t="s">
        <v>539</v>
      </c>
      <c r="J75" s="2" t="s">
        <v>540</v>
      </c>
      <c r="K75" s="2" t="s">
        <v>541</v>
      </c>
      <c r="L75" s="5">
        <v>-19.360517000000002</v>
      </c>
      <c r="M75" s="5">
        <v>147.046919</v>
      </c>
      <c r="N75" s="3"/>
      <c r="O75" s="3" t="s">
        <v>41</v>
      </c>
      <c r="P75" s="3"/>
      <c r="Q75" s="3" t="s">
        <v>41</v>
      </c>
      <c r="R75" s="3"/>
      <c r="S75" s="3" t="s">
        <v>44</v>
      </c>
      <c r="T75" s="3" t="s">
        <v>44</v>
      </c>
      <c r="U75" s="3" t="s">
        <v>41</v>
      </c>
      <c r="V75" s="3" t="s">
        <v>149</v>
      </c>
      <c r="W75" s="3"/>
      <c r="X75" s="6"/>
      <c r="Y75" s="7"/>
      <c r="Z75" s="7"/>
      <c r="AA75" s="7"/>
      <c r="AB75" s="7"/>
      <c r="AC75" s="8" t="s">
        <v>542</v>
      </c>
      <c r="AD75" s="2" t="s">
        <v>55</v>
      </c>
      <c r="AE75" s="9" t="str">
        <f t="shared" si="2"/>
        <v>Open in Google Maps</v>
      </c>
    </row>
    <row r="76" spans="1:31" s="140" customFormat="1" ht="66" x14ac:dyDescent="0.3">
      <c r="A76" s="1">
        <f t="shared" si="3"/>
        <v>73</v>
      </c>
      <c r="B76" s="15" t="s">
        <v>543</v>
      </c>
      <c r="C76" s="16" t="s">
        <v>544</v>
      </c>
      <c r="D76" s="16" t="s">
        <v>545</v>
      </c>
      <c r="E76" s="3" t="s">
        <v>35</v>
      </c>
      <c r="F76" s="16" t="s">
        <v>36</v>
      </c>
      <c r="G76" s="17">
        <v>46198</v>
      </c>
      <c r="H76" s="15" t="s">
        <v>272</v>
      </c>
      <c r="I76" s="15" t="s">
        <v>546</v>
      </c>
      <c r="J76" s="15" t="s">
        <v>110</v>
      </c>
      <c r="K76" s="15" t="s">
        <v>111</v>
      </c>
      <c r="L76" s="19">
        <v>-27.934999999999999</v>
      </c>
      <c r="M76" s="19">
        <v>151.18100000000001</v>
      </c>
      <c r="N76" s="16"/>
      <c r="O76" s="16"/>
      <c r="P76" s="16"/>
      <c r="Q76" s="16" t="s">
        <v>42</v>
      </c>
      <c r="R76" s="16" t="s">
        <v>44</v>
      </c>
      <c r="S76" s="16" t="s">
        <v>44</v>
      </c>
      <c r="T76" s="16"/>
      <c r="U76" s="16"/>
      <c r="V76" s="16" t="s">
        <v>43</v>
      </c>
      <c r="W76" s="16" t="s">
        <v>44</v>
      </c>
      <c r="X76" s="20" t="s">
        <v>44</v>
      </c>
      <c r="Y76" s="89"/>
      <c r="Z76" s="89"/>
      <c r="AA76" s="89"/>
      <c r="AB76" s="89"/>
      <c r="AC76" s="65" t="s">
        <v>255</v>
      </c>
      <c r="AD76" s="15" t="s">
        <v>113</v>
      </c>
      <c r="AE76" s="9" t="str">
        <f t="shared" si="2"/>
        <v>Open in Google Maps</v>
      </c>
    </row>
    <row r="77" spans="1:31" s="141" customFormat="1" ht="66" x14ac:dyDescent="0.3">
      <c r="A77" s="1">
        <f t="shared" si="3"/>
        <v>74</v>
      </c>
      <c r="B77" s="2" t="s">
        <v>547</v>
      </c>
      <c r="C77" s="3" t="s">
        <v>548</v>
      </c>
      <c r="D77" s="3" t="s">
        <v>549</v>
      </c>
      <c r="E77" s="3" t="s">
        <v>35</v>
      </c>
      <c r="F77" s="3" t="s">
        <v>36</v>
      </c>
      <c r="G77" s="4">
        <v>46717</v>
      </c>
      <c r="H77" s="2" t="s">
        <v>550</v>
      </c>
      <c r="I77" s="2" t="s">
        <v>551</v>
      </c>
      <c r="J77" s="2" t="s">
        <v>552</v>
      </c>
      <c r="K77" s="2" t="s">
        <v>553</v>
      </c>
      <c r="L77" s="5">
        <v>-24.860990000000001</v>
      </c>
      <c r="M77" s="5">
        <v>150.182568</v>
      </c>
      <c r="N77" s="3"/>
      <c r="O77" s="3" t="s">
        <v>41</v>
      </c>
      <c r="P77" s="3"/>
      <c r="Q77" s="3" t="s">
        <v>42</v>
      </c>
      <c r="R77" s="3"/>
      <c r="S77" s="3" t="s">
        <v>41</v>
      </c>
      <c r="T77" s="3"/>
      <c r="U77" s="3" t="s">
        <v>41</v>
      </c>
      <c r="V77" s="3" t="s">
        <v>70</v>
      </c>
      <c r="W77" s="3"/>
      <c r="X77" s="6"/>
      <c r="Y77" s="7"/>
      <c r="Z77" s="7"/>
      <c r="AA77" s="7"/>
      <c r="AB77" s="7"/>
      <c r="AC77" s="11" t="s">
        <v>554</v>
      </c>
      <c r="AD77" s="12" t="s">
        <v>63</v>
      </c>
      <c r="AE77" s="9" t="str">
        <f t="shared" si="2"/>
        <v>Open in Google Maps</v>
      </c>
    </row>
    <row r="78" spans="1:31" s="140" customFormat="1" ht="66" x14ac:dyDescent="0.3">
      <c r="A78" s="1">
        <f t="shared" si="3"/>
        <v>75</v>
      </c>
      <c r="B78" s="2" t="s">
        <v>555</v>
      </c>
      <c r="C78" s="3" t="s">
        <v>556</v>
      </c>
      <c r="D78" s="3" t="s">
        <v>557</v>
      </c>
      <c r="E78" s="3" t="s">
        <v>35</v>
      </c>
      <c r="F78" s="3" t="s">
        <v>36</v>
      </c>
      <c r="G78" s="4">
        <v>46704</v>
      </c>
      <c r="H78" s="2" t="s">
        <v>558</v>
      </c>
      <c r="I78" s="2" t="s">
        <v>559</v>
      </c>
      <c r="J78" s="2" t="s">
        <v>560</v>
      </c>
      <c r="K78" s="2" t="s">
        <v>561</v>
      </c>
      <c r="L78" s="5">
        <v>-20.665990000000001</v>
      </c>
      <c r="M78" s="5">
        <v>140.565089</v>
      </c>
      <c r="N78" s="3"/>
      <c r="O78" s="3" t="s">
        <v>44</v>
      </c>
      <c r="P78" s="3"/>
      <c r="Q78" s="3" t="s">
        <v>42</v>
      </c>
      <c r="R78" s="3" t="s">
        <v>44</v>
      </c>
      <c r="S78" s="3" t="s">
        <v>44</v>
      </c>
      <c r="T78" s="3" t="s">
        <v>44</v>
      </c>
      <c r="U78" s="3"/>
      <c r="V78" s="3" t="s">
        <v>43</v>
      </c>
      <c r="W78" s="3" t="s">
        <v>44</v>
      </c>
      <c r="X78" s="6" t="s">
        <v>44</v>
      </c>
      <c r="Y78" s="7"/>
      <c r="Z78" s="3"/>
      <c r="AA78" s="29" t="s">
        <v>44</v>
      </c>
      <c r="AB78" s="3" t="s">
        <v>44</v>
      </c>
      <c r="AC78" s="11" t="s">
        <v>562</v>
      </c>
      <c r="AD78" s="12" t="s">
        <v>247</v>
      </c>
      <c r="AE78" s="9" t="str">
        <f t="shared" si="2"/>
        <v>Open in Google Maps</v>
      </c>
    </row>
    <row r="79" spans="1:31" s="140" customFormat="1" ht="33" x14ac:dyDescent="0.3">
      <c r="A79" s="1">
        <f t="shared" si="3"/>
        <v>76</v>
      </c>
      <c r="B79" s="15" t="s">
        <v>563</v>
      </c>
      <c r="C79" s="16" t="s">
        <v>564</v>
      </c>
      <c r="D79" s="16" t="s">
        <v>565</v>
      </c>
      <c r="E79" s="16" t="s">
        <v>35</v>
      </c>
      <c r="F79" s="16" t="s">
        <v>36</v>
      </c>
      <c r="G79" s="4">
        <v>46116</v>
      </c>
      <c r="H79" s="15" t="s">
        <v>181</v>
      </c>
      <c r="I79" s="15" t="s">
        <v>566</v>
      </c>
      <c r="J79" s="15" t="s">
        <v>567</v>
      </c>
      <c r="K79" s="15" t="s">
        <v>568</v>
      </c>
      <c r="L79" s="19">
        <v>-23.417210000000001</v>
      </c>
      <c r="M79" s="19">
        <v>147.74981099999999</v>
      </c>
      <c r="N79" s="16"/>
      <c r="O79" s="16"/>
      <c r="P79" s="16"/>
      <c r="Q79" s="16"/>
      <c r="R79" s="16"/>
      <c r="S79" s="16" t="s">
        <v>44</v>
      </c>
      <c r="T79" s="16" t="s">
        <v>44</v>
      </c>
      <c r="U79" s="16"/>
      <c r="V79" s="16"/>
      <c r="W79" s="16"/>
      <c r="X79" s="20"/>
      <c r="Y79" s="7"/>
      <c r="Z79" s="7"/>
      <c r="AA79" s="7"/>
      <c r="AB79" s="7"/>
      <c r="AC79" s="21" t="s">
        <v>569</v>
      </c>
      <c r="AD79" s="22" t="s">
        <v>55</v>
      </c>
      <c r="AE79" s="9" t="str">
        <f t="shared" si="2"/>
        <v>Open in Google Maps</v>
      </c>
    </row>
    <row r="80" spans="1:31" s="140" customFormat="1" ht="66" x14ac:dyDescent="0.3">
      <c r="A80" s="1">
        <f t="shared" si="3"/>
        <v>77</v>
      </c>
      <c r="B80" s="15" t="s">
        <v>570</v>
      </c>
      <c r="C80" s="16" t="s">
        <v>571</v>
      </c>
      <c r="D80" s="16" t="s">
        <v>572</v>
      </c>
      <c r="E80" s="16" t="s">
        <v>35</v>
      </c>
      <c r="F80" s="16" t="s">
        <v>36</v>
      </c>
      <c r="G80" s="17">
        <v>46568</v>
      </c>
      <c r="H80" s="15" t="s">
        <v>573</v>
      </c>
      <c r="I80" s="15" t="s">
        <v>574</v>
      </c>
      <c r="J80" s="15" t="s">
        <v>575</v>
      </c>
      <c r="K80" s="15" t="s">
        <v>576</v>
      </c>
      <c r="L80" s="19">
        <v>-23.774999999999999</v>
      </c>
      <c r="M80" s="19">
        <v>146.55799999999999</v>
      </c>
      <c r="N80" s="16"/>
      <c r="O80" s="16" t="s">
        <v>44</v>
      </c>
      <c r="P80" s="16"/>
      <c r="Q80" s="16" t="s">
        <v>42</v>
      </c>
      <c r="R80" s="16" t="s">
        <v>44</v>
      </c>
      <c r="S80" s="16"/>
      <c r="T80" s="16" t="s">
        <v>44</v>
      </c>
      <c r="U80" s="16" t="s">
        <v>41</v>
      </c>
      <c r="V80" s="16" t="s">
        <v>70</v>
      </c>
      <c r="W80" s="16"/>
      <c r="X80" s="20"/>
      <c r="Y80" s="7"/>
      <c r="Z80" s="7"/>
      <c r="AA80" s="7"/>
      <c r="AB80" s="7"/>
      <c r="AC80" s="65" t="s">
        <v>577</v>
      </c>
      <c r="AD80" s="22" t="s">
        <v>63</v>
      </c>
      <c r="AE80" s="9" t="str">
        <f t="shared" si="2"/>
        <v>Open in Google Maps</v>
      </c>
    </row>
    <row r="81" spans="1:31" s="140" customFormat="1" x14ac:dyDescent="0.3">
      <c r="A81" s="1">
        <f t="shared" si="3"/>
        <v>78</v>
      </c>
      <c r="B81" s="15" t="s">
        <v>578</v>
      </c>
      <c r="C81" s="16" t="s">
        <v>579</v>
      </c>
      <c r="D81" s="16" t="s">
        <v>580</v>
      </c>
      <c r="E81" s="16" t="s">
        <v>35</v>
      </c>
      <c r="F81" s="16" t="s">
        <v>36</v>
      </c>
      <c r="G81" s="17">
        <v>46200</v>
      </c>
      <c r="H81" s="15" t="s">
        <v>581</v>
      </c>
      <c r="I81" s="15" t="s">
        <v>582</v>
      </c>
      <c r="J81" s="15" t="s">
        <v>583</v>
      </c>
      <c r="K81" s="15" t="s">
        <v>584</v>
      </c>
      <c r="L81" s="19">
        <v>-26.690480000000001</v>
      </c>
      <c r="M81" s="19">
        <v>152.99299999999999</v>
      </c>
      <c r="N81" s="16"/>
      <c r="O81" s="16" t="s">
        <v>41</v>
      </c>
      <c r="P81" s="16"/>
      <c r="Q81" s="16" t="s">
        <v>41</v>
      </c>
      <c r="R81" s="16"/>
      <c r="S81" s="16" t="s">
        <v>44</v>
      </c>
      <c r="T81" s="16" t="s">
        <v>44</v>
      </c>
      <c r="U81" s="16" t="s">
        <v>41</v>
      </c>
      <c r="V81" s="16" t="s">
        <v>149</v>
      </c>
      <c r="W81" s="16"/>
      <c r="X81" s="20"/>
      <c r="Y81" s="7"/>
      <c r="Z81" s="7"/>
      <c r="AA81" s="7"/>
      <c r="AB81" s="7"/>
      <c r="AC81" s="21" t="s">
        <v>585</v>
      </c>
      <c r="AD81" s="22" t="s">
        <v>55</v>
      </c>
      <c r="AE81" s="9" t="str">
        <f t="shared" si="2"/>
        <v>Open in Google Maps</v>
      </c>
    </row>
    <row r="82" spans="1:31" s="140" customFormat="1" ht="33" x14ac:dyDescent="0.3">
      <c r="A82" s="1">
        <f t="shared" si="3"/>
        <v>79</v>
      </c>
      <c r="B82" s="2" t="s">
        <v>586</v>
      </c>
      <c r="C82" s="3" t="s">
        <v>587</v>
      </c>
      <c r="D82" s="3" t="s">
        <v>588</v>
      </c>
      <c r="E82" s="3" t="s">
        <v>35</v>
      </c>
      <c r="F82" s="3" t="s">
        <v>36</v>
      </c>
      <c r="G82" s="4">
        <v>46726</v>
      </c>
      <c r="H82" s="2" t="s">
        <v>558</v>
      </c>
      <c r="I82" s="2" t="s">
        <v>589</v>
      </c>
      <c r="J82" s="2" t="s">
        <v>590</v>
      </c>
      <c r="K82" s="2" t="s">
        <v>591</v>
      </c>
      <c r="L82" s="5">
        <v>-20.6509</v>
      </c>
      <c r="M82" s="5">
        <v>140.495</v>
      </c>
      <c r="N82" s="3"/>
      <c r="O82" s="3" t="s">
        <v>41</v>
      </c>
      <c r="P82" s="3"/>
      <c r="Q82" s="3"/>
      <c r="R82" s="3" t="s">
        <v>44</v>
      </c>
      <c r="S82" s="3" t="s">
        <v>44</v>
      </c>
      <c r="T82" s="3" t="s">
        <v>41</v>
      </c>
      <c r="U82" s="3" t="s">
        <v>41</v>
      </c>
      <c r="V82" s="3" t="s">
        <v>70</v>
      </c>
      <c r="W82" s="3"/>
      <c r="X82" s="6"/>
      <c r="Y82" s="7"/>
      <c r="Z82" s="7"/>
      <c r="AA82" s="7"/>
      <c r="AB82" s="7"/>
      <c r="AC82" s="11" t="s">
        <v>592</v>
      </c>
      <c r="AD82" s="12" t="s">
        <v>247</v>
      </c>
      <c r="AE82" s="9" t="str">
        <f t="shared" si="2"/>
        <v>Open in Google Maps</v>
      </c>
    </row>
    <row r="83" spans="1:31" s="140" customFormat="1" ht="33" x14ac:dyDescent="0.3">
      <c r="A83" s="1">
        <f t="shared" si="3"/>
        <v>80</v>
      </c>
      <c r="B83" s="2" t="s">
        <v>593</v>
      </c>
      <c r="C83" s="3" t="s">
        <v>594</v>
      </c>
      <c r="D83" s="3" t="s">
        <v>595</v>
      </c>
      <c r="E83" s="3" t="s">
        <v>35</v>
      </c>
      <c r="F83" s="13" t="s">
        <v>36</v>
      </c>
      <c r="G83" s="4">
        <v>46465</v>
      </c>
      <c r="H83" s="2" t="s">
        <v>596</v>
      </c>
      <c r="I83" s="2" t="s">
        <v>597</v>
      </c>
      <c r="J83" s="2" t="s">
        <v>598</v>
      </c>
      <c r="K83" s="2" t="s">
        <v>599</v>
      </c>
      <c r="L83" s="5">
        <v>-27.85639575015</v>
      </c>
      <c r="M83" s="5">
        <v>153.11426818927001</v>
      </c>
      <c r="N83" s="14"/>
      <c r="O83" s="3" t="s">
        <v>41</v>
      </c>
      <c r="P83" s="3"/>
      <c r="Q83" s="3" t="s">
        <v>41</v>
      </c>
      <c r="R83" s="3"/>
      <c r="S83" s="3" t="s">
        <v>44</v>
      </c>
      <c r="T83" s="3" t="s">
        <v>44</v>
      </c>
      <c r="U83" s="3" t="s">
        <v>41</v>
      </c>
      <c r="V83" s="3" t="s">
        <v>149</v>
      </c>
      <c r="W83" s="3"/>
      <c r="X83" s="6"/>
      <c r="Y83" s="7"/>
      <c r="Z83" s="7"/>
      <c r="AA83" s="7"/>
      <c r="AB83" s="3" t="s">
        <v>44</v>
      </c>
      <c r="AC83" s="8" t="s">
        <v>600</v>
      </c>
      <c r="AD83" s="2" t="s">
        <v>55</v>
      </c>
      <c r="AE83" s="9" t="str">
        <f t="shared" si="2"/>
        <v>Open in Google Maps</v>
      </c>
    </row>
    <row r="84" spans="1:31" s="141" customFormat="1" x14ac:dyDescent="0.3">
      <c r="A84" s="1">
        <f t="shared" si="3"/>
        <v>81</v>
      </c>
      <c r="B84" s="2" t="s">
        <v>601</v>
      </c>
      <c r="C84" s="3" t="s">
        <v>602</v>
      </c>
      <c r="D84" s="3" t="s">
        <v>603</v>
      </c>
      <c r="E84" s="3" t="s">
        <v>35</v>
      </c>
      <c r="F84" s="4" t="s">
        <v>117</v>
      </c>
      <c r="G84" s="4">
        <v>46681</v>
      </c>
      <c r="H84" s="2" t="s">
        <v>604</v>
      </c>
      <c r="I84" s="2" t="s">
        <v>605</v>
      </c>
      <c r="J84" s="2" t="s">
        <v>606</v>
      </c>
      <c r="K84" s="2" t="s">
        <v>607</v>
      </c>
      <c r="L84" s="5">
        <v>16.402000000000001</v>
      </c>
      <c r="M84" s="5">
        <v>145.411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6"/>
      <c r="Y84" s="7"/>
      <c r="Z84" s="29" t="s">
        <v>44</v>
      </c>
      <c r="AA84" s="7"/>
      <c r="AB84" s="7"/>
      <c r="AC84" s="11" t="s">
        <v>608</v>
      </c>
      <c r="AD84" s="12" t="s">
        <v>609</v>
      </c>
      <c r="AE84" s="9" t="str">
        <f t="shared" si="2"/>
        <v>Open in Google Maps</v>
      </c>
    </row>
    <row r="85" spans="1:31" s="140" customFormat="1" ht="32.450000000000003" customHeight="1" x14ac:dyDescent="0.3">
      <c r="A85" s="1">
        <f t="shared" si="3"/>
        <v>82</v>
      </c>
      <c r="B85" s="72" t="s">
        <v>610</v>
      </c>
      <c r="C85" s="30" t="s">
        <v>611</v>
      </c>
      <c r="D85" s="30" t="s">
        <v>612</v>
      </c>
      <c r="E85" s="30" t="s">
        <v>35</v>
      </c>
      <c r="F85" s="3" t="s">
        <v>36</v>
      </c>
      <c r="G85" s="67">
        <v>46198</v>
      </c>
      <c r="H85" s="72" t="s">
        <v>280</v>
      </c>
      <c r="I85" s="72" t="s">
        <v>613</v>
      </c>
      <c r="J85" s="72" t="s">
        <v>614</v>
      </c>
      <c r="K85" s="72" t="s">
        <v>613</v>
      </c>
      <c r="L85" s="73">
        <v>-27.732600000000001</v>
      </c>
      <c r="M85" s="73">
        <v>153.3289</v>
      </c>
      <c r="N85" s="30"/>
      <c r="O85" s="30"/>
      <c r="P85" s="30"/>
      <c r="Q85" s="30" t="s">
        <v>41</v>
      </c>
      <c r="R85" s="30"/>
      <c r="S85" s="30" t="s">
        <v>44</v>
      </c>
      <c r="T85" s="30" t="s">
        <v>44</v>
      </c>
      <c r="U85" s="30" t="s">
        <v>41</v>
      </c>
      <c r="V85" s="30" t="s">
        <v>149</v>
      </c>
      <c r="W85" s="30"/>
      <c r="X85" s="82"/>
      <c r="Y85" s="7"/>
      <c r="Z85" s="7"/>
      <c r="AA85" s="7"/>
      <c r="AB85" s="7"/>
      <c r="AC85" s="74" t="s">
        <v>615</v>
      </c>
      <c r="AD85" s="75" t="s">
        <v>55</v>
      </c>
      <c r="AE85" s="9" t="str">
        <f t="shared" si="2"/>
        <v>Open in Google Maps</v>
      </c>
    </row>
    <row r="86" spans="1:31" s="140" customFormat="1" ht="66" x14ac:dyDescent="0.3">
      <c r="A86" s="1">
        <f t="shared" si="3"/>
        <v>83</v>
      </c>
      <c r="B86" s="2" t="s">
        <v>616</v>
      </c>
      <c r="C86" s="3" t="s">
        <v>617</v>
      </c>
      <c r="D86" s="3" t="s">
        <v>618</v>
      </c>
      <c r="E86" s="3" t="s">
        <v>35</v>
      </c>
      <c r="F86" s="3" t="s">
        <v>36</v>
      </c>
      <c r="G86" s="4">
        <v>46134</v>
      </c>
      <c r="H86" s="2" t="s">
        <v>154</v>
      </c>
      <c r="I86" s="2" t="s">
        <v>619</v>
      </c>
      <c r="J86" s="2" t="s">
        <v>620</v>
      </c>
      <c r="K86" s="2" t="s">
        <v>621</v>
      </c>
      <c r="L86" s="5">
        <v>-25.382106</v>
      </c>
      <c r="M86" s="5">
        <v>152.09020000000001</v>
      </c>
      <c r="N86" s="3"/>
      <c r="O86" s="3"/>
      <c r="P86" s="3"/>
      <c r="Q86" s="3" t="s">
        <v>42</v>
      </c>
      <c r="R86" s="3"/>
      <c r="S86" s="3"/>
      <c r="T86" s="3"/>
      <c r="U86" s="3"/>
      <c r="V86" s="3" t="s">
        <v>70</v>
      </c>
      <c r="W86" s="3" t="s">
        <v>44</v>
      </c>
      <c r="X86" s="6" t="s">
        <v>44</v>
      </c>
      <c r="Y86" s="40"/>
      <c r="Z86" s="7"/>
      <c r="AA86" s="7"/>
      <c r="AB86" s="7"/>
      <c r="AC86" s="11" t="s">
        <v>622</v>
      </c>
      <c r="AD86" s="12" t="s">
        <v>247</v>
      </c>
      <c r="AE86" s="9" t="str">
        <f t="shared" si="2"/>
        <v>Open in Google Maps</v>
      </c>
    </row>
    <row r="87" spans="1:31" s="140" customFormat="1" ht="32.450000000000003" customHeight="1" x14ac:dyDescent="0.3">
      <c r="A87" s="1">
        <f t="shared" si="3"/>
        <v>84</v>
      </c>
      <c r="B87" s="68" t="s">
        <v>623</v>
      </c>
      <c r="C87" s="55" t="s">
        <v>624</v>
      </c>
      <c r="D87" s="55" t="s">
        <v>625</v>
      </c>
      <c r="E87" s="55" t="s">
        <v>35</v>
      </c>
      <c r="F87" s="16" t="s">
        <v>36</v>
      </c>
      <c r="G87" s="69">
        <v>46591</v>
      </c>
      <c r="H87" s="41" t="s">
        <v>581</v>
      </c>
      <c r="I87" s="64" t="s">
        <v>626</v>
      </c>
      <c r="J87" s="64" t="s">
        <v>627</v>
      </c>
      <c r="K87" s="64" t="s">
        <v>628</v>
      </c>
      <c r="L87" s="19">
        <v>-26.691517000000001</v>
      </c>
      <c r="M87" s="19">
        <v>152.684404</v>
      </c>
      <c r="N87" s="55"/>
      <c r="O87" s="55"/>
      <c r="P87" s="55"/>
      <c r="Q87" s="55"/>
      <c r="R87" s="55"/>
      <c r="S87" s="55" t="s">
        <v>44</v>
      </c>
      <c r="T87" s="55" t="s">
        <v>44</v>
      </c>
      <c r="U87" s="55"/>
      <c r="V87" s="55"/>
      <c r="W87" s="55"/>
      <c r="X87" s="70"/>
      <c r="Y87" s="7"/>
      <c r="Z87" s="7"/>
      <c r="AA87" s="7"/>
      <c r="AB87" s="7"/>
      <c r="AC87" s="71" t="s">
        <v>629</v>
      </c>
      <c r="AD87" s="64" t="s">
        <v>55</v>
      </c>
      <c r="AE87" s="9" t="str">
        <f t="shared" si="2"/>
        <v>Open in Google Maps</v>
      </c>
    </row>
    <row r="88" spans="1:31" s="141" customFormat="1" ht="34.15" customHeight="1" x14ac:dyDescent="0.3">
      <c r="A88" s="1">
        <f t="shared" si="3"/>
        <v>85</v>
      </c>
      <c r="B88" s="2" t="s">
        <v>630</v>
      </c>
      <c r="C88" s="3" t="s">
        <v>631</v>
      </c>
      <c r="D88" s="3" t="s">
        <v>632</v>
      </c>
      <c r="E88" s="3" t="s">
        <v>35</v>
      </c>
      <c r="F88" s="3" t="s">
        <v>36</v>
      </c>
      <c r="G88" s="4">
        <v>46150</v>
      </c>
      <c r="H88" s="2" t="s">
        <v>59</v>
      </c>
      <c r="I88" s="2" t="s">
        <v>633</v>
      </c>
      <c r="J88" s="2" t="s">
        <v>634</v>
      </c>
      <c r="K88" s="2" t="s">
        <v>635</v>
      </c>
      <c r="L88" s="5">
        <v>-27.4251</v>
      </c>
      <c r="M88" s="5">
        <v>152.4786</v>
      </c>
      <c r="N88" s="3"/>
      <c r="O88" s="3"/>
      <c r="P88" s="3"/>
      <c r="Q88" s="3"/>
      <c r="R88" s="3"/>
      <c r="S88" s="3" t="s">
        <v>44</v>
      </c>
      <c r="T88" s="3" t="s">
        <v>44</v>
      </c>
      <c r="U88" s="3"/>
      <c r="V88" s="3"/>
      <c r="W88" s="3"/>
      <c r="X88" s="6"/>
      <c r="Y88" s="7"/>
      <c r="Z88" s="7"/>
      <c r="AA88" s="7"/>
      <c r="AB88" s="7"/>
      <c r="AC88" s="11" t="s">
        <v>636</v>
      </c>
      <c r="AD88" s="64" t="s">
        <v>55</v>
      </c>
      <c r="AE88" s="9" t="str">
        <f t="shared" si="2"/>
        <v>Open in Google Maps</v>
      </c>
    </row>
    <row r="89" spans="1:31" s="140" customFormat="1" ht="66" x14ac:dyDescent="0.3">
      <c r="A89" s="1">
        <f t="shared" si="3"/>
        <v>86</v>
      </c>
      <c r="B89" s="2" t="s">
        <v>637</v>
      </c>
      <c r="C89" s="29" t="s">
        <v>638</v>
      </c>
      <c r="D89" s="29" t="s">
        <v>639</v>
      </c>
      <c r="E89" s="3" t="s">
        <v>35</v>
      </c>
      <c r="F89" s="3" t="s">
        <v>36</v>
      </c>
      <c r="G89" s="4">
        <v>46235</v>
      </c>
      <c r="H89" s="90" t="s">
        <v>640</v>
      </c>
      <c r="I89" s="90" t="s">
        <v>641</v>
      </c>
      <c r="J89" s="90" t="s">
        <v>642</v>
      </c>
      <c r="K89" s="90" t="s">
        <v>641</v>
      </c>
      <c r="L89" s="5">
        <v>-23.261469999999999</v>
      </c>
      <c r="M89" s="5">
        <v>150.73683700000001</v>
      </c>
      <c r="N89" s="29"/>
      <c r="O89" s="29"/>
      <c r="P89" s="29"/>
      <c r="Q89" s="30" t="s">
        <v>42</v>
      </c>
      <c r="R89" s="29" t="s">
        <v>44</v>
      </c>
      <c r="S89" s="29"/>
      <c r="T89" s="29"/>
      <c r="U89" s="29"/>
      <c r="V89" s="30" t="s">
        <v>70</v>
      </c>
      <c r="W89" s="31" t="s">
        <v>44</v>
      </c>
      <c r="X89" s="31" t="s">
        <v>44</v>
      </c>
      <c r="Y89" s="31"/>
      <c r="Z89" s="29" t="s">
        <v>44</v>
      </c>
      <c r="AA89" s="29"/>
      <c r="AB89" s="29"/>
      <c r="AC89" s="74" t="s">
        <v>643</v>
      </c>
      <c r="AD89" s="90" t="s">
        <v>247</v>
      </c>
      <c r="AE89" s="9" t="str">
        <f t="shared" si="2"/>
        <v>Open in Google Maps</v>
      </c>
    </row>
    <row r="90" spans="1:31" s="140" customFormat="1" ht="33.6" customHeight="1" x14ac:dyDescent="0.3">
      <c r="A90" s="1">
        <f t="shared" si="3"/>
        <v>87</v>
      </c>
      <c r="B90" s="72" t="s">
        <v>644</v>
      </c>
      <c r="C90" s="30" t="s">
        <v>645</v>
      </c>
      <c r="D90" s="30" t="s">
        <v>646</v>
      </c>
      <c r="E90" s="30" t="s">
        <v>35</v>
      </c>
      <c r="F90" s="3" t="s">
        <v>144</v>
      </c>
      <c r="G90" s="67">
        <v>46172</v>
      </c>
      <c r="H90" s="72" t="s">
        <v>280</v>
      </c>
      <c r="I90" s="72" t="s">
        <v>647</v>
      </c>
      <c r="J90" s="72" t="s">
        <v>644</v>
      </c>
      <c r="K90" s="72" t="s">
        <v>647</v>
      </c>
      <c r="L90" s="73">
        <v>-27.718872999999999</v>
      </c>
      <c r="M90" s="73">
        <v>153.31714700000001</v>
      </c>
      <c r="N90" s="30"/>
      <c r="O90" s="30" t="s">
        <v>41</v>
      </c>
      <c r="P90" s="30"/>
      <c r="Q90" s="30" t="s">
        <v>41</v>
      </c>
      <c r="R90" s="30"/>
      <c r="S90" s="30" t="s">
        <v>44</v>
      </c>
      <c r="T90" s="30" t="s">
        <v>44</v>
      </c>
      <c r="U90" s="30" t="s">
        <v>41</v>
      </c>
      <c r="V90" s="30" t="s">
        <v>149</v>
      </c>
      <c r="W90" s="30"/>
      <c r="X90" s="82"/>
      <c r="Y90" s="7"/>
      <c r="Z90" s="7"/>
      <c r="AA90" s="7"/>
      <c r="AB90" s="7"/>
      <c r="AC90" s="74" t="s">
        <v>648</v>
      </c>
      <c r="AD90" s="75" t="s">
        <v>55</v>
      </c>
      <c r="AE90" s="9" t="str">
        <f t="shared" si="2"/>
        <v>Open in Google Maps</v>
      </c>
    </row>
    <row r="91" spans="1:31" s="141" customFormat="1" ht="49.5" x14ac:dyDescent="0.3">
      <c r="A91" s="1">
        <f t="shared" si="3"/>
        <v>88</v>
      </c>
      <c r="B91" s="15" t="s">
        <v>649</v>
      </c>
      <c r="C91" s="16" t="s">
        <v>650</v>
      </c>
      <c r="D91" s="16" t="s">
        <v>651</v>
      </c>
      <c r="E91" s="30" t="s">
        <v>35</v>
      </c>
      <c r="F91" s="55" t="s">
        <v>88</v>
      </c>
      <c r="G91" s="17">
        <v>46708</v>
      </c>
      <c r="H91" s="15" t="s">
        <v>75</v>
      </c>
      <c r="I91" s="15" t="s">
        <v>652</v>
      </c>
      <c r="J91" s="15" t="s">
        <v>439</v>
      </c>
      <c r="K91" s="15" t="s">
        <v>445</v>
      </c>
      <c r="L91" s="19">
        <v>-28.033291999999999</v>
      </c>
      <c r="M91" s="19">
        <v>152.99167399999999</v>
      </c>
      <c r="N91" s="16"/>
      <c r="O91" s="16"/>
      <c r="P91" s="16"/>
      <c r="Q91" s="16"/>
      <c r="R91" s="16" t="s">
        <v>44</v>
      </c>
      <c r="S91" s="16"/>
      <c r="T91" s="16"/>
      <c r="U91" s="16" t="s">
        <v>41</v>
      </c>
      <c r="V91" s="16" t="s">
        <v>43</v>
      </c>
      <c r="W91" s="16"/>
      <c r="X91" s="20"/>
      <c r="Y91" s="7"/>
      <c r="Z91" s="7"/>
      <c r="AA91" s="7"/>
      <c r="AB91" s="7"/>
      <c r="AC91" s="65" t="s">
        <v>165</v>
      </c>
      <c r="AD91" s="15" t="s">
        <v>113</v>
      </c>
      <c r="AE91" s="9" t="str">
        <f t="shared" si="2"/>
        <v>Open in Google Maps</v>
      </c>
    </row>
    <row r="92" spans="1:31" s="140" customFormat="1" ht="32.450000000000003" customHeight="1" x14ac:dyDescent="0.3">
      <c r="A92" s="1">
        <f t="shared" si="3"/>
        <v>89</v>
      </c>
      <c r="B92" s="32" t="s">
        <v>653</v>
      </c>
      <c r="C92" s="1" t="s">
        <v>654</v>
      </c>
      <c r="D92" s="1" t="s">
        <v>655</v>
      </c>
      <c r="E92" s="1" t="s">
        <v>35</v>
      </c>
      <c r="F92" s="3" t="s">
        <v>144</v>
      </c>
      <c r="G92" s="33">
        <v>46271</v>
      </c>
      <c r="H92" s="38" t="s">
        <v>145</v>
      </c>
      <c r="I92" s="38" t="s">
        <v>656</v>
      </c>
      <c r="J92" s="38" t="s">
        <v>657</v>
      </c>
      <c r="K92" s="38" t="s">
        <v>658</v>
      </c>
      <c r="L92" s="35">
        <v>-21.134879999999999</v>
      </c>
      <c r="M92" s="35">
        <v>149.17671999999999</v>
      </c>
      <c r="N92" s="1"/>
      <c r="O92" s="1" t="s">
        <v>41</v>
      </c>
      <c r="P92" s="1"/>
      <c r="Q92" s="1" t="s">
        <v>41</v>
      </c>
      <c r="R92" s="1"/>
      <c r="S92" s="1" t="s">
        <v>44</v>
      </c>
      <c r="T92" s="1" t="s">
        <v>44</v>
      </c>
      <c r="U92" s="1" t="s">
        <v>41</v>
      </c>
      <c r="V92" s="1" t="s">
        <v>149</v>
      </c>
      <c r="W92" s="1"/>
      <c r="X92" s="36"/>
      <c r="Y92" s="7"/>
      <c r="Z92" s="7"/>
      <c r="AA92" s="7"/>
      <c r="AB92" s="7"/>
      <c r="AC92" s="37" t="s">
        <v>222</v>
      </c>
      <c r="AD92" s="38" t="s">
        <v>55</v>
      </c>
      <c r="AE92" s="9" t="str">
        <f t="shared" si="2"/>
        <v>Open in Google Maps</v>
      </c>
    </row>
    <row r="93" spans="1:31" s="140" customFormat="1" ht="34.15" customHeight="1" x14ac:dyDescent="0.3">
      <c r="A93" s="1">
        <f t="shared" si="3"/>
        <v>90</v>
      </c>
      <c r="B93" s="72" t="s">
        <v>659</v>
      </c>
      <c r="C93" s="30" t="s">
        <v>660</v>
      </c>
      <c r="D93" s="30" t="s">
        <v>661</v>
      </c>
      <c r="E93" s="30" t="s">
        <v>35</v>
      </c>
      <c r="F93" s="3" t="s">
        <v>36</v>
      </c>
      <c r="G93" s="67">
        <v>46281</v>
      </c>
      <c r="H93" s="72" t="s">
        <v>50</v>
      </c>
      <c r="I93" s="72" t="s">
        <v>662</v>
      </c>
      <c r="J93" s="72" t="s">
        <v>663</v>
      </c>
      <c r="K93" s="72" t="s">
        <v>664</v>
      </c>
      <c r="L93" s="73">
        <v>-19.399199058250002</v>
      </c>
      <c r="M93" s="73">
        <v>147.06000207023001</v>
      </c>
      <c r="N93" s="30"/>
      <c r="O93" s="30" t="s">
        <v>41</v>
      </c>
      <c r="P93" s="30"/>
      <c r="Q93" s="30" t="s">
        <v>41</v>
      </c>
      <c r="R93" s="30"/>
      <c r="S93" s="30" t="s">
        <v>44</v>
      </c>
      <c r="T93" s="30" t="s">
        <v>44</v>
      </c>
      <c r="U93" s="30" t="s">
        <v>41</v>
      </c>
      <c r="V93" s="30" t="s">
        <v>149</v>
      </c>
      <c r="W93" s="30"/>
      <c r="X93" s="82"/>
      <c r="Y93" s="7"/>
      <c r="Z93" s="7"/>
      <c r="AA93" s="7"/>
      <c r="AB93" s="7"/>
      <c r="AC93" s="74" t="s">
        <v>665</v>
      </c>
      <c r="AD93" s="28" t="s">
        <v>55</v>
      </c>
      <c r="AE93" s="9" t="str">
        <f t="shared" si="2"/>
        <v>Open in Google Maps</v>
      </c>
    </row>
    <row r="94" spans="1:31" s="140" customFormat="1" ht="19.149999999999999" customHeight="1" x14ac:dyDescent="0.3">
      <c r="A94" s="1">
        <f t="shared" si="3"/>
        <v>91</v>
      </c>
      <c r="B94" s="23" t="s">
        <v>666</v>
      </c>
      <c r="C94" s="13" t="s">
        <v>667</v>
      </c>
      <c r="D94" s="13" t="s">
        <v>668</v>
      </c>
      <c r="E94" s="13" t="s">
        <v>35</v>
      </c>
      <c r="F94" s="13" t="s">
        <v>36</v>
      </c>
      <c r="G94" s="24">
        <v>46705</v>
      </c>
      <c r="H94" s="28" t="s">
        <v>280</v>
      </c>
      <c r="I94" s="28" t="s">
        <v>669</v>
      </c>
      <c r="J94" s="28" t="s">
        <v>670</v>
      </c>
      <c r="K94" s="28" t="s">
        <v>671</v>
      </c>
      <c r="L94" s="25">
        <v>-28.147638000000001</v>
      </c>
      <c r="M94" s="25">
        <v>153.47753900000001</v>
      </c>
      <c r="N94" s="13"/>
      <c r="O94" s="13"/>
      <c r="P94" s="13"/>
      <c r="Q94" s="13"/>
      <c r="R94" s="13"/>
      <c r="S94" s="13" t="s">
        <v>44</v>
      </c>
      <c r="T94" s="13" t="s">
        <v>44</v>
      </c>
      <c r="U94" s="13"/>
      <c r="V94" s="13"/>
      <c r="W94" s="13"/>
      <c r="X94" s="26"/>
      <c r="Y94" s="7"/>
      <c r="Z94" s="7"/>
      <c r="AA94" s="7"/>
      <c r="AB94" s="7"/>
      <c r="AC94" s="27" t="s">
        <v>672</v>
      </c>
      <c r="AD94" s="28" t="s">
        <v>55</v>
      </c>
      <c r="AE94" s="9" t="str">
        <f t="shared" si="2"/>
        <v>Open in Google Maps</v>
      </c>
    </row>
    <row r="95" spans="1:31" s="140" customFormat="1" ht="20.45" customHeight="1" x14ac:dyDescent="0.3">
      <c r="A95" s="1">
        <f t="shared" si="3"/>
        <v>92</v>
      </c>
      <c r="B95" s="2" t="s">
        <v>673</v>
      </c>
      <c r="C95" s="3" t="s">
        <v>674</v>
      </c>
      <c r="D95" s="3" t="s">
        <v>675</v>
      </c>
      <c r="E95" s="3" t="s">
        <v>35</v>
      </c>
      <c r="F95" s="3" t="s">
        <v>36</v>
      </c>
      <c r="G95" s="4">
        <v>46106</v>
      </c>
      <c r="H95" s="2" t="s">
        <v>324</v>
      </c>
      <c r="I95" s="2" t="s">
        <v>676</v>
      </c>
      <c r="J95" s="2" t="s">
        <v>677</v>
      </c>
      <c r="K95" s="2" t="s">
        <v>678</v>
      </c>
      <c r="L95" s="5">
        <v>-28.089931</v>
      </c>
      <c r="M95" s="5">
        <v>148.61805200000001</v>
      </c>
      <c r="N95" s="3"/>
      <c r="O95" s="3" t="s">
        <v>41</v>
      </c>
      <c r="P95" s="3"/>
      <c r="Q95" s="3" t="s">
        <v>41</v>
      </c>
      <c r="R95" s="3"/>
      <c r="S95" s="3" t="s">
        <v>44</v>
      </c>
      <c r="T95" s="3" t="s">
        <v>44</v>
      </c>
      <c r="U95" s="3" t="s">
        <v>41</v>
      </c>
      <c r="V95" s="3" t="s">
        <v>149</v>
      </c>
      <c r="W95" s="3"/>
      <c r="X95" s="6"/>
      <c r="Y95" s="7"/>
      <c r="Z95" s="40"/>
      <c r="AA95" s="40"/>
      <c r="AB95" s="40"/>
      <c r="AC95" s="12" t="s">
        <v>679</v>
      </c>
      <c r="AD95" s="28" t="s">
        <v>55</v>
      </c>
      <c r="AE95" s="9" t="str">
        <f t="shared" si="2"/>
        <v>Open in Google Maps</v>
      </c>
    </row>
    <row r="96" spans="1:31" s="141" customFormat="1" ht="33" x14ac:dyDescent="0.3">
      <c r="A96" s="1">
        <f t="shared" si="3"/>
        <v>93</v>
      </c>
      <c r="B96" s="2" t="s">
        <v>680</v>
      </c>
      <c r="C96" s="3" t="s">
        <v>681</v>
      </c>
      <c r="D96" s="3" t="s">
        <v>682</v>
      </c>
      <c r="E96" s="3" t="s">
        <v>35</v>
      </c>
      <c r="F96" s="3" t="s">
        <v>88</v>
      </c>
      <c r="G96" s="4">
        <v>46170</v>
      </c>
      <c r="H96" s="72" t="s">
        <v>683</v>
      </c>
      <c r="I96" s="2" t="s">
        <v>684</v>
      </c>
      <c r="J96" s="2" t="s">
        <v>685</v>
      </c>
      <c r="K96" s="2" t="s">
        <v>686</v>
      </c>
      <c r="L96" s="5">
        <v>-22.054500000000001</v>
      </c>
      <c r="M96" s="5">
        <v>148.33000000000001</v>
      </c>
      <c r="N96" s="3"/>
      <c r="O96" s="3"/>
      <c r="P96" s="3"/>
      <c r="Q96" s="3" t="s">
        <v>687</v>
      </c>
      <c r="R96" s="3"/>
      <c r="S96" s="3"/>
      <c r="T96" s="3"/>
      <c r="U96" s="3"/>
      <c r="V96" s="3" t="s">
        <v>70</v>
      </c>
      <c r="W96" s="3" t="s">
        <v>44</v>
      </c>
      <c r="X96" s="6" t="s">
        <v>44</v>
      </c>
      <c r="Y96" s="3"/>
      <c r="Z96" s="7"/>
      <c r="AA96" s="40"/>
      <c r="AB96" s="7"/>
      <c r="AC96" s="11" t="s">
        <v>688</v>
      </c>
      <c r="AD96" s="12" t="s">
        <v>209</v>
      </c>
      <c r="AE96" s="9" t="str">
        <f t="shared" si="2"/>
        <v>Open in Google Maps</v>
      </c>
    </row>
    <row r="97" spans="1:31" s="140" customFormat="1" ht="46.9" customHeight="1" x14ac:dyDescent="0.3">
      <c r="A97" s="1">
        <f t="shared" si="3"/>
        <v>94</v>
      </c>
      <c r="B97" s="12" t="s">
        <v>689</v>
      </c>
      <c r="C97" s="3" t="s">
        <v>690</v>
      </c>
      <c r="D97" s="3" t="s">
        <v>691</v>
      </c>
      <c r="E97" s="3" t="s">
        <v>35</v>
      </c>
      <c r="F97" s="3" t="s">
        <v>144</v>
      </c>
      <c r="G97" s="4">
        <v>46218</v>
      </c>
      <c r="H97" s="12" t="s">
        <v>37</v>
      </c>
      <c r="I97" s="12" t="s">
        <v>692</v>
      </c>
      <c r="J97" s="12" t="s">
        <v>39</v>
      </c>
      <c r="K97" s="12" t="s">
        <v>693</v>
      </c>
      <c r="L97" s="5">
        <v>-19.990819999999999</v>
      </c>
      <c r="M97" s="5">
        <v>148.197011</v>
      </c>
      <c r="N97" s="3"/>
      <c r="O97" s="3"/>
      <c r="P97" s="3"/>
      <c r="Q97" s="3"/>
      <c r="R97" s="3"/>
      <c r="S97" s="3" t="s">
        <v>44</v>
      </c>
      <c r="T97" s="3" t="s">
        <v>44</v>
      </c>
      <c r="U97" s="3"/>
      <c r="V97" s="3"/>
      <c r="W97" s="3"/>
      <c r="X97" s="6"/>
      <c r="Y97" s="29"/>
      <c r="Z97" s="29"/>
      <c r="AA97" s="29"/>
      <c r="AB97" s="29"/>
      <c r="AC97" s="11" t="s">
        <v>694</v>
      </c>
      <c r="AD97" s="12" t="s">
        <v>55</v>
      </c>
      <c r="AE97" s="9" t="str">
        <f t="shared" si="2"/>
        <v>Open in Google Maps</v>
      </c>
    </row>
    <row r="98" spans="1:31" s="140" customFormat="1" ht="36.6" customHeight="1" x14ac:dyDescent="0.3">
      <c r="A98" s="1">
        <f t="shared" si="3"/>
        <v>95</v>
      </c>
      <c r="B98" s="15" t="s">
        <v>695</v>
      </c>
      <c r="C98" s="16" t="s">
        <v>696</v>
      </c>
      <c r="D98" s="16" t="s">
        <v>697</v>
      </c>
      <c r="E98" s="16" t="s">
        <v>35</v>
      </c>
      <c r="F98" s="16" t="s">
        <v>144</v>
      </c>
      <c r="G98" s="17">
        <v>46219</v>
      </c>
      <c r="H98" s="15" t="s">
        <v>37</v>
      </c>
      <c r="I98" s="15" t="s">
        <v>698</v>
      </c>
      <c r="J98" s="15" t="s">
        <v>699</v>
      </c>
      <c r="K98" s="15" t="s">
        <v>700</v>
      </c>
      <c r="L98" s="19">
        <v>-19.971274000000001</v>
      </c>
      <c r="M98" s="19">
        <v>148.21517</v>
      </c>
      <c r="N98" s="16"/>
      <c r="O98" s="16"/>
      <c r="P98" s="16"/>
      <c r="Q98" s="16"/>
      <c r="R98" s="16"/>
      <c r="S98" s="16" t="s">
        <v>44</v>
      </c>
      <c r="T98" s="16" t="s">
        <v>44</v>
      </c>
      <c r="U98" s="16"/>
      <c r="V98" s="16"/>
      <c r="W98" s="16"/>
      <c r="X98" s="20"/>
      <c r="Y98" s="7"/>
      <c r="Z98" s="7"/>
      <c r="AA98" s="7"/>
      <c r="AB98" s="7"/>
      <c r="AC98" s="21" t="s">
        <v>701</v>
      </c>
      <c r="AD98" s="28" t="s">
        <v>55</v>
      </c>
      <c r="AE98" s="9" t="str">
        <f t="shared" si="2"/>
        <v>Open in Google Maps</v>
      </c>
    </row>
    <row r="99" spans="1:31" s="140" customFormat="1" ht="39.6" customHeight="1" x14ac:dyDescent="0.3">
      <c r="A99" s="1">
        <f t="shared" si="3"/>
        <v>96</v>
      </c>
      <c r="B99" s="2" t="s">
        <v>702</v>
      </c>
      <c r="C99" s="3" t="s">
        <v>703</v>
      </c>
      <c r="D99" s="3" t="s">
        <v>704</v>
      </c>
      <c r="E99" s="3" t="s">
        <v>35</v>
      </c>
      <c r="F99" s="3" t="s">
        <v>36</v>
      </c>
      <c r="G99" s="4">
        <v>46519</v>
      </c>
      <c r="H99" s="2" t="s">
        <v>37</v>
      </c>
      <c r="I99" s="2" t="s">
        <v>705</v>
      </c>
      <c r="J99" s="2" t="s">
        <v>706</v>
      </c>
      <c r="K99" s="2" t="s">
        <v>700</v>
      </c>
      <c r="L99" s="48">
        <v>-20.108440000000002</v>
      </c>
      <c r="M99" s="5">
        <v>148.15533600000001</v>
      </c>
      <c r="N99" s="3"/>
      <c r="O99" s="3"/>
      <c r="P99" s="3"/>
      <c r="Q99" s="3"/>
      <c r="R99" s="3"/>
      <c r="S99" s="3" t="s">
        <v>44</v>
      </c>
      <c r="T99" s="3" t="s">
        <v>44</v>
      </c>
      <c r="U99" s="3"/>
      <c r="V99" s="3"/>
      <c r="W99" s="3"/>
      <c r="X99" s="6"/>
      <c r="Y99" s="7"/>
      <c r="Z99" s="7"/>
      <c r="AA99" s="7"/>
      <c r="AB99" s="7"/>
      <c r="AC99" s="11" t="s">
        <v>707</v>
      </c>
      <c r="AD99" s="12" t="s">
        <v>55</v>
      </c>
      <c r="AE99" s="9" t="str">
        <f t="shared" si="2"/>
        <v>Open in Google Maps</v>
      </c>
    </row>
    <row r="100" spans="1:31" s="142" customFormat="1" ht="66" x14ac:dyDescent="0.3">
      <c r="A100" s="1">
        <f t="shared" si="3"/>
        <v>97</v>
      </c>
      <c r="B100" s="2" t="s">
        <v>708</v>
      </c>
      <c r="C100" s="3" t="s">
        <v>709</v>
      </c>
      <c r="D100" s="3" t="s">
        <v>710</v>
      </c>
      <c r="E100" s="3" t="s">
        <v>35</v>
      </c>
      <c r="F100" s="3" t="s">
        <v>36</v>
      </c>
      <c r="G100" s="4">
        <v>46138</v>
      </c>
      <c r="H100" s="2" t="s">
        <v>581</v>
      </c>
      <c r="I100" s="2" t="s">
        <v>711</v>
      </c>
      <c r="J100" s="2" t="s">
        <v>581</v>
      </c>
      <c r="K100" s="2" t="s">
        <v>712</v>
      </c>
      <c r="L100" s="5">
        <v>-26.635133</v>
      </c>
      <c r="M100" s="5">
        <v>152.88556199999999</v>
      </c>
      <c r="N100" s="3"/>
      <c r="O100" s="3" t="s">
        <v>44</v>
      </c>
      <c r="P100" s="3"/>
      <c r="Q100" s="3" t="s">
        <v>42</v>
      </c>
      <c r="R100" s="3" t="s">
        <v>44</v>
      </c>
      <c r="S100" s="3"/>
      <c r="T100" s="3"/>
      <c r="U100" s="3"/>
      <c r="V100" s="3" t="s">
        <v>70</v>
      </c>
      <c r="W100" s="3" t="s">
        <v>44</v>
      </c>
      <c r="X100" s="6" t="s">
        <v>44</v>
      </c>
      <c r="Y100" s="7"/>
      <c r="Z100" s="7"/>
      <c r="AA100" s="7"/>
      <c r="AB100" s="7"/>
      <c r="AC100" s="11" t="s">
        <v>255</v>
      </c>
      <c r="AD100" s="12" t="s">
        <v>113</v>
      </c>
      <c r="AE100" s="9" t="str">
        <f t="shared" si="2"/>
        <v>Open in Google Maps</v>
      </c>
    </row>
    <row r="101" spans="1:31" s="140" customFormat="1" ht="33" x14ac:dyDescent="0.3">
      <c r="A101" s="1">
        <f t="shared" si="3"/>
        <v>98</v>
      </c>
      <c r="B101" s="2" t="s">
        <v>713</v>
      </c>
      <c r="C101" s="3" t="s">
        <v>714</v>
      </c>
      <c r="D101" s="3" t="s">
        <v>715</v>
      </c>
      <c r="E101" s="3" t="s">
        <v>35</v>
      </c>
      <c r="F101" s="3" t="s">
        <v>88</v>
      </c>
      <c r="G101" s="4">
        <v>46318</v>
      </c>
      <c r="H101" s="2" t="s">
        <v>188</v>
      </c>
      <c r="I101" s="2" t="s">
        <v>716</v>
      </c>
      <c r="J101" s="2" t="s">
        <v>717</v>
      </c>
      <c r="K101" s="2" t="s">
        <v>718</v>
      </c>
      <c r="L101" s="5">
        <v>-25.30819</v>
      </c>
      <c r="M101" s="5">
        <v>152.73869999999999</v>
      </c>
      <c r="N101" s="3"/>
      <c r="O101" s="3"/>
      <c r="P101" s="3"/>
      <c r="Q101" s="3"/>
      <c r="R101" s="3"/>
      <c r="S101" s="3"/>
      <c r="T101" s="3"/>
      <c r="U101" s="3"/>
      <c r="V101" s="3" t="s">
        <v>70</v>
      </c>
      <c r="W101" s="3"/>
      <c r="X101" s="6" t="s">
        <v>44</v>
      </c>
      <c r="Y101" s="3"/>
      <c r="Z101" s="7"/>
      <c r="AA101" s="7"/>
      <c r="AB101" s="7"/>
      <c r="AC101" s="11" t="s">
        <v>112</v>
      </c>
      <c r="AD101" s="12" t="s">
        <v>113</v>
      </c>
      <c r="AE101" s="9" t="str">
        <f t="shared" si="2"/>
        <v>Open in Google Maps</v>
      </c>
    </row>
    <row r="102" spans="1:31" s="140" customFormat="1" ht="19.149999999999999" customHeight="1" x14ac:dyDescent="0.3">
      <c r="A102" s="1">
        <f t="shared" si="3"/>
        <v>99</v>
      </c>
      <c r="B102" s="2" t="s">
        <v>719</v>
      </c>
      <c r="C102" s="3" t="s">
        <v>720</v>
      </c>
      <c r="D102" s="3" t="s">
        <v>721</v>
      </c>
      <c r="E102" s="3" t="s">
        <v>35</v>
      </c>
      <c r="F102" s="3" t="s">
        <v>36</v>
      </c>
      <c r="G102" s="4">
        <v>46647</v>
      </c>
      <c r="H102" s="2" t="s">
        <v>722</v>
      </c>
      <c r="I102" s="2" t="s">
        <v>723</v>
      </c>
      <c r="J102" s="2" t="s">
        <v>724</v>
      </c>
      <c r="K102" s="2" t="s">
        <v>725</v>
      </c>
      <c r="L102" s="5">
        <v>-28.425000000000001</v>
      </c>
      <c r="M102" s="5">
        <v>153.547</v>
      </c>
      <c r="N102" s="3"/>
      <c r="O102" s="3"/>
      <c r="P102" s="3"/>
      <c r="Q102" s="3"/>
      <c r="R102" s="3"/>
      <c r="S102" s="3" t="s">
        <v>44</v>
      </c>
      <c r="T102" s="3" t="s">
        <v>44</v>
      </c>
      <c r="U102" s="3"/>
      <c r="V102" s="3"/>
      <c r="W102" s="3"/>
      <c r="X102" s="6"/>
      <c r="Y102" s="7"/>
      <c r="Z102" s="7"/>
      <c r="AA102" s="7"/>
      <c r="AB102" s="7"/>
      <c r="AC102" s="11" t="s">
        <v>672</v>
      </c>
      <c r="AD102" s="12" t="s">
        <v>55</v>
      </c>
      <c r="AE102" s="9" t="str">
        <f t="shared" si="2"/>
        <v>Open in Google Maps</v>
      </c>
    </row>
    <row r="103" spans="1:31" s="140" customFormat="1" ht="31.9" customHeight="1" x14ac:dyDescent="0.3">
      <c r="A103" s="1">
        <f t="shared" si="3"/>
        <v>100</v>
      </c>
      <c r="B103" s="72" t="s">
        <v>726</v>
      </c>
      <c r="C103" s="30" t="s">
        <v>727</v>
      </c>
      <c r="D103" s="30" t="s">
        <v>728</v>
      </c>
      <c r="E103" s="30" t="s">
        <v>35</v>
      </c>
      <c r="F103" s="3" t="s">
        <v>144</v>
      </c>
      <c r="G103" s="67">
        <v>46149</v>
      </c>
      <c r="H103" s="72" t="s">
        <v>280</v>
      </c>
      <c r="I103" s="72" t="s">
        <v>729</v>
      </c>
      <c r="J103" s="72" t="s">
        <v>730</v>
      </c>
      <c r="K103" s="72" t="s">
        <v>731</v>
      </c>
      <c r="L103" s="91">
        <v>-27.681135435910001</v>
      </c>
      <c r="M103" s="91">
        <v>153.25043959620001</v>
      </c>
      <c r="N103" s="30"/>
      <c r="O103" s="30" t="s">
        <v>41</v>
      </c>
      <c r="P103" s="30"/>
      <c r="Q103" s="30" t="s">
        <v>41</v>
      </c>
      <c r="R103" s="30"/>
      <c r="S103" s="30" t="s">
        <v>44</v>
      </c>
      <c r="T103" s="30" t="s">
        <v>44</v>
      </c>
      <c r="U103" s="30" t="s">
        <v>41</v>
      </c>
      <c r="V103" s="30" t="s">
        <v>149</v>
      </c>
      <c r="W103" s="30"/>
      <c r="X103" s="82"/>
      <c r="Y103" s="7"/>
      <c r="Z103" s="40"/>
      <c r="AA103" s="40"/>
      <c r="AB103" s="7"/>
      <c r="AC103" s="74" t="s">
        <v>732</v>
      </c>
      <c r="AD103" s="12" t="s">
        <v>55</v>
      </c>
      <c r="AE103" s="9" t="str">
        <f t="shared" si="2"/>
        <v>Open in Google Maps</v>
      </c>
    </row>
    <row r="104" spans="1:31" s="140" customFormat="1" ht="48.6" customHeight="1" x14ac:dyDescent="0.3">
      <c r="A104" s="1">
        <f t="shared" si="3"/>
        <v>101</v>
      </c>
      <c r="B104" s="2" t="s">
        <v>733</v>
      </c>
      <c r="C104" s="3" t="s">
        <v>734</v>
      </c>
      <c r="D104" s="3" t="s">
        <v>735</v>
      </c>
      <c r="E104" s="3" t="s">
        <v>35</v>
      </c>
      <c r="F104" s="4" t="s">
        <v>36</v>
      </c>
      <c r="G104" s="4">
        <v>46491</v>
      </c>
      <c r="H104" s="2" t="s">
        <v>227</v>
      </c>
      <c r="I104" s="2" t="s">
        <v>736</v>
      </c>
      <c r="J104" s="2" t="s">
        <v>737</v>
      </c>
      <c r="K104" s="2" t="s">
        <v>738</v>
      </c>
      <c r="L104" s="5">
        <v>-17.11336</v>
      </c>
      <c r="M104" s="5">
        <v>145.517338</v>
      </c>
      <c r="N104" s="3"/>
      <c r="O104" s="3"/>
      <c r="P104" s="3"/>
      <c r="Q104" s="3"/>
      <c r="R104" s="3"/>
      <c r="S104" s="3" t="s">
        <v>44</v>
      </c>
      <c r="T104" s="3" t="s">
        <v>44</v>
      </c>
      <c r="U104" s="3"/>
      <c r="V104" s="3"/>
      <c r="W104" s="3"/>
      <c r="X104" s="6"/>
      <c r="Y104" s="3"/>
      <c r="Z104" s="3"/>
      <c r="AA104" s="7"/>
      <c r="AB104" s="7"/>
      <c r="AC104" s="11" t="s">
        <v>739</v>
      </c>
      <c r="AD104" s="12" t="s">
        <v>55</v>
      </c>
      <c r="AE104" s="9" t="str">
        <f t="shared" si="2"/>
        <v>Open in Google Maps</v>
      </c>
    </row>
    <row r="105" spans="1:31" s="140" customFormat="1" ht="33" x14ac:dyDescent="0.3">
      <c r="A105" s="1">
        <f t="shared" si="3"/>
        <v>102</v>
      </c>
      <c r="B105" s="2" t="s">
        <v>740</v>
      </c>
      <c r="C105" s="3" t="s">
        <v>741</v>
      </c>
      <c r="D105" s="3" t="s">
        <v>742</v>
      </c>
      <c r="E105" s="3" t="s">
        <v>35</v>
      </c>
      <c r="F105" s="3" t="s">
        <v>36</v>
      </c>
      <c r="G105" s="4">
        <v>46298</v>
      </c>
      <c r="H105" s="2" t="s">
        <v>181</v>
      </c>
      <c r="I105" s="2" t="s">
        <v>743</v>
      </c>
      <c r="J105" s="2" t="s">
        <v>744</v>
      </c>
      <c r="K105" s="2" t="s">
        <v>745</v>
      </c>
      <c r="L105" s="5">
        <v>-23.166530000000002</v>
      </c>
      <c r="M105" s="5">
        <v>148.199455</v>
      </c>
      <c r="N105" s="3"/>
      <c r="O105" s="3"/>
      <c r="P105" s="3"/>
      <c r="Q105" s="3"/>
      <c r="R105" s="3"/>
      <c r="S105" s="3"/>
      <c r="T105" s="3"/>
      <c r="U105" s="3"/>
      <c r="V105" s="3" t="s">
        <v>70</v>
      </c>
      <c r="W105" s="3"/>
      <c r="X105" s="6"/>
      <c r="Y105" s="7"/>
      <c r="Z105" s="7"/>
      <c r="AA105" s="7"/>
      <c r="AB105" s="7"/>
      <c r="AC105" s="11" t="s">
        <v>112</v>
      </c>
      <c r="AD105" s="12" t="s">
        <v>113</v>
      </c>
      <c r="AE105" s="9" t="str">
        <f t="shared" si="2"/>
        <v>Open in Google Maps</v>
      </c>
    </row>
    <row r="106" spans="1:31" s="141" customFormat="1" ht="66" x14ac:dyDescent="0.3">
      <c r="A106" s="1">
        <f t="shared" si="3"/>
        <v>103</v>
      </c>
      <c r="B106" s="2" t="s">
        <v>746</v>
      </c>
      <c r="C106" s="3" t="s">
        <v>747</v>
      </c>
      <c r="D106" s="3" t="s">
        <v>748</v>
      </c>
      <c r="E106" s="3" t="s">
        <v>35</v>
      </c>
      <c r="F106" s="3" t="s">
        <v>36</v>
      </c>
      <c r="G106" s="4">
        <v>46542</v>
      </c>
      <c r="H106" s="2" t="s">
        <v>683</v>
      </c>
      <c r="I106" s="2" t="s">
        <v>749</v>
      </c>
      <c r="J106" s="2" t="s">
        <v>750</v>
      </c>
      <c r="K106" s="2" t="s">
        <v>751</v>
      </c>
      <c r="L106" s="5">
        <v>-22.678000000000001</v>
      </c>
      <c r="M106" s="5">
        <v>147.66300000000001</v>
      </c>
      <c r="N106" s="3"/>
      <c r="O106" s="3" t="s">
        <v>41</v>
      </c>
      <c r="P106" s="3"/>
      <c r="Q106" s="3" t="s">
        <v>42</v>
      </c>
      <c r="R106" s="3" t="s">
        <v>44</v>
      </c>
      <c r="S106" s="3"/>
      <c r="T106" s="3"/>
      <c r="U106" s="3" t="s">
        <v>41</v>
      </c>
      <c r="V106" s="3" t="s">
        <v>70</v>
      </c>
      <c r="W106" s="3"/>
      <c r="X106" s="6"/>
      <c r="Y106" s="7"/>
      <c r="Z106" s="7"/>
      <c r="AA106" s="7"/>
      <c r="AB106" s="7"/>
      <c r="AC106" s="11" t="s">
        <v>165</v>
      </c>
      <c r="AD106" s="12" t="s">
        <v>113</v>
      </c>
      <c r="AE106" s="9" t="str">
        <f t="shared" si="2"/>
        <v>Open in Google Maps</v>
      </c>
    </row>
    <row r="107" spans="1:31" s="140" customFormat="1" ht="66" x14ac:dyDescent="0.3">
      <c r="A107" s="1">
        <f t="shared" si="3"/>
        <v>104</v>
      </c>
      <c r="B107" s="2" t="s">
        <v>752</v>
      </c>
      <c r="C107" s="3" t="s">
        <v>753</v>
      </c>
      <c r="D107" s="3" t="s">
        <v>754</v>
      </c>
      <c r="E107" s="3" t="s">
        <v>35</v>
      </c>
      <c r="F107" s="3" t="s">
        <v>36</v>
      </c>
      <c r="G107" s="4">
        <v>46646</v>
      </c>
      <c r="H107" s="2" t="s">
        <v>550</v>
      </c>
      <c r="I107" s="2" t="s">
        <v>755</v>
      </c>
      <c r="J107" s="2" t="s">
        <v>552</v>
      </c>
      <c r="K107" s="2" t="s">
        <v>756</v>
      </c>
      <c r="L107" s="5">
        <v>-24.305</v>
      </c>
      <c r="M107" s="5">
        <v>150.12700000000001</v>
      </c>
      <c r="N107" s="3"/>
      <c r="O107" s="3" t="s">
        <v>41</v>
      </c>
      <c r="P107" s="3"/>
      <c r="Q107" s="3" t="s">
        <v>42</v>
      </c>
      <c r="R107" s="3" t="s">
        <v>44</v>
      </c>
      <c r="S107" s="3" t="s">
        <v>41</v>
      </c>
      <c r="T107" s="3"/>
      <c r="U107" s="3" t="s">
        <v>41</v>
      </c>
      <c r="V107" s="3" t="s">
        <v>70</v>
      </c>
      <c r="W107" s="3" t="s">
        <v>44</v>
      </c>
      <c r="X107" s="6" t="s">
        <v>44</v>
      </c>
      <c r="Y107" s="7"/>
      <c r="Z107" s="7"/>
      <c r="AA107" s="7"/>
      <c r="AB107" s="3"/>
      <c r="AC107" s="11" t="s">
        <v>757</v>
      </c>
      <c r="AD107" s="12" t="s">
        <v>63</v>
      </c>
      <c r="AE107" s="9" t="str">
        <f t="shared" si="2"/>
        <v>Open in Google Maps</v>
      </c>
    </row>
    <row r="108" spans="1:31" s="140" customFormat="1" ht="49.5" x14ac:dyDescent="0.3">
      <c r="A108" s="1">
        <f t="shared" si="3"/>
        <v>105</v>
      </c>
      <c r="B108" s="2" t="s">
        <v>758</v>
      </c>
      <c r="C108" s="3" t="s">
        <v>759</v>
      </c>
      <c r="D108" s="3" t="s">
        <v>760</v>
      </c>
      <c r="E108" s="3" t="s">
        <v>35</v>
      </c>
      <c r="F108" s="3" t="s">
        <v>117</v>
      </c>
      <c r="G108" s="4">
        <v>46304</v>
      </c>
      <c r="H108" s="2" t="s">
        <v>640</v>
      </c>
      <c r="I108" s="2" t="s">
        <v>761</v>
      </c>
      <c r="J108" s="2" t="s">
        <v>762</v>
      </c>
      <c r="K108" s="2" t="s">
        <v>763</v>
      </c>
      <c r="L108" s="5">
        <v>-23.412800000000001</v>
      </c>
      <c r="M108" s="5">
        <v>150.44710000000001</v>
      </c>
      <c r="N108" s="3"/>
      <c r="O108" s="3"/>
      <c r="P108" s="3"/>
      <c r="Q108" s="3"/>
      <c r="R108" s="3"/>
      <c r="S108" s="3"/>
      <c r="T108" s="3"/>
      <c r="U108" s="3"/>
      <c r="V108" s="3" t="s">
        <v>764</v>
      </c>
      <c r="W108" s="3"/>
      <c r="X108" s="6"/>
      <c r="Y108" s="7"/>
      <c r="Z108" s="7"/>
      <c r="AA108" s="7"/>
      <c r="AB108" s="3"/>
      <c r="AC108" s="11" t="s">
        <v>765</v>
      </c>
      <c r="AD108" s="12" t="s">
        <v>247</v>
      </c>
      <c r="AE108" s="9" t="str">
        <f t="shared" si="2"/>
        <v>Open in Google Maps</v>
      </c>
    </row>
    <row r="109" spans="1:31" s="140" customFormat="1" ht="66" x14ac:dyDescent="0.3">
      <c r="A109" s="1">
        <f t="shared" si="3"/>
        <v>106</v>
      </c>
      <c r="B109" s="2" t="s">
        <v>766</v>
      </c>
      <c r="C109" s="3" t="s">
        <v>767</v>
      </c>
      <c r="D109" s="3" t="s">
        <v>768</v>
      </c>
      <c r="E109" s="3" t="s">
        <v>35</v>
      </c>
      <c r="F109" s="3" t="s">
        <v>88</v>
      </c>
      <c r="G109" s="4">
        <v>46600</v>
      </c>
      <c r="H109" s="2" t="s">
        <v>145</v>
      </c>
      <c r="I109" s="2" t="s">
        <v>769</v>
      </c>
      <c r="J109" s="2" t="s">
        <v>770</v>
      </c>
      <c r="K109" s="2" t="s">
        <v>771</v>
      </c>
      <c r="L109" s="5">
        <v>-21.065330776460002</v>
      </c>
      <c r="M109" s="5">
        <v>149.08853253253</v>
      </c>
      <c r="N109" s="3"/>
      <c r="O109" s="3" t="s">
        <v>44</v>
      </c>
      <c r="P109" s="3"/>
      <c r="Q109" s="3" t="s">
        <v>42</v>
      </c>
      <c r="R109" s="3" t="s">
        <v>44</v>
      </c>
      <c r="S109" s="3" t="s">
        <v>44</v>
      </c>
      <c r="T109" s="3" t="s">
        <v>44</v>
      </c>
      <c r="U109" s="3"/>
      <c r="V109" s="3" t="s">
        <v>43</v>
      </c>
      <c r="W109" s="3" t="s">
        <v>44</v>
      </c>
      <c r="X109" s="6" t="s">
        <v>44</v>
      </c>
      <c r="Y109" s="3"/>
      <c r="Z109" s="3"/>
      <c r="AA109" s="3" t="s">
        <v>44</v>
      </c>
      <c r="AB109" s="3" t="s">
        <v>44</v>
      </c>
      <c r="AC109" s="11" t="s">
        <v>772</v>
      </c>
      <c r="AD109" s="12" t="s">
        <v>247</v>
      </c>
      <c r="AE109" s="9" t="str">
        <f t="shared" si="2"/>
        <v>Open in Google Maps</v>
      </c>
    </row>
    <row r="110" spans="1:31" s="140" customFormat="1" ht="49.5" x14ac:dyDescent="0.3">
      <c r="A110" s="1">
        <f t="shared" si="3"/>
        <v>107</v>
      </c>
      <c r="B110" s="15" t="s">
        <v>773</v>
      </c>
      <c r="C110" s="16" t="s">
        <v>774</v>
      </c>
      <c r="D110" s="16" t="s">
        <v>775</v>
      </c>
      <c r="E110" s="16" t="s">
        <v>35</v>
      </c>
      <c r="F110" s="16" t="s">
        <v>88</v>
      </c>
      <c r="G110" s="17">
        <v>46571</v>
      </c>
      <c r="H110" s="15" t="s">
        <v>82</v>
      </c>
      <c r="I110" s="15" t="s">
        <v>776</v>
      </c>
      <c r="J110" s="15" t="s">
        <v>770</v>
      </c>
      <c r="K110" s="15" t="s">
        <v>777</v>
      </c>
      <c r="L110" s="19">
        <v>-27.416430201600001</v>
      </c>
      <c r="M110" s="19">
        <v>152.93312282799999</v>
      </c>
      <c r="N110" s="16"/>
      <c r="O110" s="16" t="s">
        <v>44</v>
      </c>
      <c r="P110" s="16"/>
      <c r="Q110" s="55"/>
      <c r="R110" s="16" t="s">
        <v>44</v>
      </c>
      <c r="S110" s="16" t="s">
        <v>41</v>
      </c>
      <c r="T110" s="16"/>
      <c r="U110" s="16" t="s">
        <v>41</v>
      </c>
      <c r="V110" s="16" t="s">
        <v>43</v>
      </c>
      <c r="W110" s="16" t="s">
        <v>44</v>
      </c>
      <c r="X110" s="20" t="s">
        <v>44</v>
      </c>
      <c r="Y110" s="16"/>
      <c r="Z110" s="7"/>
      <c r="AA110" s="16" t="s">
        <v>44</v>
      </c>
      <c r="AB110" s="16"/>
      <c r="AC110" s="65" t="s">
        <v>778</v>
      </c>
      <c r="AD110" s="15" t="s">
        <v>247</v>
      </c>
      <c r="AE110" s="9" t="str">
        <f t="shared" si="2"/>
        <v>Open in Google Maps</v>
      </c>
    </row>
    <row r="111" spans="1:31" s="140" customFormat="1" ht="66" x14ac:dyDescent="0.3">
      <c r="A111" s="1">
        <f t="shared" si="3"/>
        <v>108</v>
      </c>
      <c r="B111" s="15" t="s">
        <v>779</v>
      </c>
      <c r="C111" s="16" t="s">
        <v>780</v>
      </c>
      <c r="D111" s="16" t="s">
        <v>781</v>
      </c>
      <c r="E111" s="16" t="s">
        <v>35</v>
      </c>
      <c r="F111" s="16" t="s">
        <v>303</v>
      </c>
      <c r="G111" s="17">
        <v>46347</v>
      </c>
      <c r="H111" s="15" t="s">
        <v>37</v>
      </c>
      <c r="I111" s="15" t="s">
        <v>782</v>
      </c>
      <c r="J111" s="15" t="s">
        <v>37</v>
      </c>
      <c r="K111" s="15" t="s">
        <v>782</v>
      </c>
      <c r="L111" s="19">
        <v>-20.366063</v>
      </c>
      <c r="M111" s="19">
        <v>148.56707700000001</v>
      </c>
      <c r="N111" s="16"/>
      <c r="O111" s="16"/>
      <c r="P111" s="16"/>
      <c r="Q111" s="16" t="s">
        <v>42</v>
      </c>
      <c r="R111" s="16" t="s">
        <v>44</v>
      </c>
      <c r="S111" s="16"/>
      <c r="T111" s="16"/>
      <c r="U111" s="16" t="s">
        <v>44</v>
      </c>
      <c r="V111" s="16" t="s">
        <v>43</v>
      </c>
      <c r="W111" s="16" t="s">
        <v>44</v>
      </c>
      <c r="X111" s="20" t="s">
        <v>44</v>
      </c>
      <c r="Y111" s="7"/>
      <c r="Z111" s="7"/>
      <c r="AA111" s="7"/>
      <c r="AB111" s="7"/>
      <c r="AC111" s="65" t="s">
        <v>783</v>
      </c>
      <c r="AD111" s="15" t="s">
        <v>63</v>
      </c>
      <c r="AE111" s="9" t="str">
        <f t="shared" si="2"/>
        <v>Open in Google Maps</v>
      </c>
    </row>
    <row r="112" spans="1:31" s="141" customFormat="1" ht="21" customHeight="1" x14ac:dyDescent="0.3">
      <c r="A112" s="1">
        <f t="shared" si="3"/>
        <v>109</v>
      </c>
      <c r="B112" s="2" t="s">
        <v>784</v>
      </c>
      <c r="C112" s="3" t="s">
        <v>785</v>
      </c>
      <c r="D112" s="3" t="s">
        <v>786</v>
      </c>
      <c r="E112" s="3" t="s">
        <v>35</v>
      </c>
      <c r="F112" s="3" t="s">
        <v>36</v>
      </c>
      <c r="G112" s="4">
        <v>46327</v>
      </c>
      <c r="H112" s="2" t="s">
        <v>188</v>
      </c>
      <c r="I112" s="2" t="s">
        <v>787</v>
      </c>
      <c r="J112" s="2" t="s">
        <v>788</v>
      </c>
      <c r="K112" s="2" t="s">
        <v>787</v>
      </c>
      <c r="L112" s="5">
        <v>-25.276855999999999</v>
      </c>
      <c r="M112" s="5">
        <v>152.70092099999999</v>
      </c>
      <c r="N112" s="3"/>
      <c r="O112" s="3"/>
      <c r="P112" s="3"/>
      <c r="Q112" s="3" t="s">
        <v>41</v>
      </c>
      <c r="R112" s="3"/>
      <c r="S112" s="3" t="s">
        <v>44</v>
      </c>
      <c r="T112" s="3" t="s">
        <v>44</v>
      </c>
      <c r="U112" s="3" t="s">
        <v>41</v>
      </c>
      <c r="V112" s="3" t="s">
        <v>149</v>
      </c>
      <c r="W112" s="3"/>
      <c r="X112" s="6"/>
      <c r="Y112" s="7"/>
      <c r="Z112" s="7"/>
      <c r="AA112" s="7"/>
      <c r="AB112" s="7"/>
      <c r="AC112" s="11" t="s">
        <v>789</v>
      </c>
      <c r="AD112" s="12" t="s">
        <v>55</v>
      </c>
      <c r="AE112" s="9" t="str">
        <f t="shared" si="2"/>
        <v>Open in Google Maps</v>
      </c>
    </row>
    <row r="113" spans="1:31" s="140" customFormat="1" ht="37.15" customHeight="1" x14ac:dyDescent="0.3">
      <c r="A113" s="1">
        <f t="shared" si="3"/>
        <v>110</v>
      </c>
      <c r="B113" s="23" t="s">
        <v>790</v>
      </c>
      <c r="C113" s="13" t="s">
        <v>791</v>
      </c>
      <c r="D113" s="13" t="s">
        <v>792</v>
      </c>
      <c r="E113" s="13" t="s">
        <v>35</v>
      </c>
      <c r="F113" s="13" t="s">
        <v>144</v>
      </c>
      <c r="G113" s="24">
        <v>46779</v>
      </c>
      <c r="H113" s="28" t="s">
        <v>37</v>
      </c>
      <c r="I113" s="28" t="s">
        <v>793</v>
      </c>
      <c r="J113" s="28" t="s">
        <v>794</v>
      </c>
      <c r="K113" s="28" t="s">
        <v>795</v>
      </c>
      <c r="L113" s="25">
        <v>-20.050799999999999</v>
      </c>
      <c r="M113" s="25">
        <v>148.19999999999999</v>
      </c>
      <c r="N113" s="13"/>
      <c r="O113" s="13"/>
      <c r="P113" s="13"/>
      <c r="Q113" s="13"/>
      <c r="R113" s="13"/>
      <c r="S113" s="13" t="s">
        <v>44</v>
      </c>
      <c r="T113" s="13" t="s">
        <v>44</v>
      </c>
      <c r="U113" s="13"/>
      <c r="V113" s="13"/>
      <c r="W113" s="13"/>
      <c r="X113" s="26"/>
      <c r="Y113" s="7"/>
      <c r="Z113" s="7"/>
      <c r="AA113" s="7"/>
      <c r="AB113" s="13" t="s">
        <v>44</v>
      </c>
      <c r="AC113" s="11" t="s">
        <v>796</v>
      </c>
      <c r="AD113" s="28" t="s">
        <v>55</v>
      </c>
      <c r="AE113" s="9" t="str">
        <f t="shared" si="2"/>
        <v>Open in Google Maps</v>
      </c>
    </row>
    <row r="114" spans="1:31" s="140" customFormat="1" ht="49.5" x14ac:dyDescent="0.3">
      <c r="A114" s="1">
        <f t="shared" si="3"/>
        <v>111</v>
      </c>
      <c r="B114" s="41" t="s">
        <v>797</v>
      </c>
      <c r="C114" s="42" t="s">
        <v>798</v>
      </c>
      <c r="D114" s="42" t="s">
        <v>799</v>
      </c>
      <c r="E114" s="42" t="s">
        <v>35</v>
      </c>
      <c r="F114" s="55" t="s">
        <v>88</v>
      </c>
      <c r="G114" s="43">
        <v>46281</v>
      </c>
      <c r="H114" s="41" t="s">
        <v>581</v>
      </c>
      <c r="I114" s="41" t="s">
        <v>800</v>
      </c>
      <c r="J114" s="41" t="s">
        <v>663</v>
      </c>
      <c r="K114" s="41" t="s">
        <v>801</v>
      </c>
      <c r="L114" s="44">
        <v>-26.9098592</v>
      </c>
      <c r="M114" s="44">
        <v>152.9184544</v>
      </c>
      <c r="N114" s="42"/>
      <c r="O114" s="42"/>
      <c r="P114" s="42"/>
      <c r="Q114" s="55"/>
      <c r="R114" s="42" t="s">
        <v>44</v>
      </c>
      <c r="S114" s="42" t="s">
        <v>44</v>
      </c>
      <c r="T114" s="42" t="s">
        <v>44</v>
      </c>
      <c r="U114" s="42" t="s">
        <v>41</v>
      </c>
      <c r="V114" s="42" t="s">
        <v>43</v>
      </c>
      <c r="W114" s="42" t="s">
        <v>44</v>
      </c>
      <c r="X114" s="45" t="s">
        <v>44</v>
      </c>
      <c r="Y114" s="7"/>
      <c r="Z114" s="7"/>
      <c r="AA114" s="42" t="s">
        <v>44</v>
      </c>
      <c r="AB114" s="42" t="s">
        <v>44</v>
      </c>
      <c r="AC114" s="46" t="s">
        <v>802</v>
      </c>
      <c r="AD114" s="47" t="s">
        <v>63</v>
      </c>
      <c r="AE114" s="9" t="str">
        <f t="shared" si="2"/>
        <v>Open in Google Maps</v>
      </c>
    </row>
    <row r="115" spans="1:31" s="140" customFormat="1" ht="66" x14ac:dyDescent="0.3">
      <c r="A115" s="1">
        <f t="shared" si="3"/>
        <v>112</v>
      </c>
      <c r="B115" s="15" t="s">
        <v>803</v>
      </c>
      <c r="C115" s="16" t="s">
        <v>804</v>
      </c>
      <c r="D115" s="16" t="s">
        <v>805</v>
      </c>
      <c r="E115" s="16" t="s">
        <v>35</v>
      </c>
      <c r="F115" s="16" t="s">
        <v>36</v>
      </c>
      <c r="G115" s="4">
        <v>46680</v>
      </c>
      <c r="H115" s="15" t="s">
        <v>181</v>
      </c>
      <c r="I115" s="15" t="s">
        <v>806</v>
      </c>
      <c r="J115" s="15" t="s">
        <v>750</v>
      </c>
      <c r="K115" s="15" t="s">
        <v>807</v>
      </c>
      <c r="L115" s="19">
        <v>-23.576146000000001</v>
      </c>
      <c r="M115" s="19">
        <v>147.8134</v>
      </c>
      <c r="N115" s="16"/>
      <c r="O115" s="16" t="s">
        <v>41</v>
      </c>
      <c r="P115" s="16"/>
      <c r="Q115" s="16" t="s">
        <v>42</v>
      </c>
      <c r="R115" s="16" t="s">
        <v>44</v>
      </c>
      <c r="S115" s="16" t="s">
        <v>41</v>
      </c>
      <c r="T115" s="16" t="s">
        <v>41</v>
      </c>
      <c r="U115" s="16" t="s">
        <v>41</v>
      </c>
      <c r="V115" s="16" t="s">
        <v>70</v>
      </c>
      <c r="W115" s="16" t="s">
        <v>44</v>
      </c>
      <c r="X115" s="20" t="s">
        <v>44</v>
      </c>
      <c r="Y115" s="7"/>
      <c r="Z115" s="7"/>
      <c r="AA115" s="7"/>
      <c r="AB115" s="7"/>
      <c r="AC115" s="21" t="s">
        <v>255</v>
      </c>
      <c r="AD115" s="22" t="s">
        <v>113</v>
      </c>
      <c r="AE115" s="9" t="str">
        <f t="shared" si="2"/>
        <v>Open in Google Maps</v>
      </c>
    </row>
    <row r="116" spans="1:31" s="141" customFormat="1" ht="34.15" customHeight="1" x14ac:dyDescent="0.3">
      <c r="A116" s="1">
        <f t="shared" si="3"/>
        <v>113</v>
      </c>
      <c r="B116" s="2" t="s">
        <v>808</v>
      </c>
      <c r="C116" s="3" t="s">
        <v>809</v>
      </c>
      <c r="D116" s="3" t="s">
        <v>810</v>
      </c>
      <c r="E116" s="3" t="s">
        <v>35</v>
      </c>
      <c r="F116" s="3" t="s">
        <v>303</v>
      </c>
      <c r="G116" s="4">
        <v>46759</v>
      </c>
      <c r="H116" s="12" t="s">
        <v>811</v>
      </c>
      <c r="I116" s="12" t="s">
        <v>812</v>
      </c>
      <c r="J116" s="12" t="s">
        <v>813</v>
      </c>
      <c r="K116" s="12" t="s">
        <v>814</v>
      </c>
      <c r="L116" s="5">
        <v>-26.5</v>
      </c>
      <c r="M116" s="5">
        <v>151.69999999999999</v>
      </c>
      <c r="N116" s="3"/>
      <c r="O116" s="3"/>
      <c r="P116" s="3"/>
      <c r="Q116" s="3"/>
      <c r="R116" s="3"/>
      <c r="S116" s="3" t="s">
        <v>44</v>
      </c>
      <c r="T116" s="3" t="s">
        <v>44</v>
      </c>
      <c r="U116" s="3"/>
      <c r="V116" s="3"/>
      <c r="W116" s="3"/>
      <c r="X116" s="6"/>
      <c r="Y116" s="7"/>
      <c r="Z116" s="7"/>
      <c r="AA116" s="40"/>
      <c r="AB116" s="7"/>
      <c r="AC116" s="11" t="s">
        <v>815</v>
      </c>
      <c r="AD116" s="28" t="s">
        <v>55</v>
      </c>
      <c r="AE116" s="9" t="str">
        <f t="shared" si="2"/>
        <v>Open in Google Maps</v>
      </c>
    </row>
    <row r="117" spans="1:31" s="141" customFormat="1" ht="66" x14ac:dyDescent="0.3">
      <c r="A117" s="1">
        <f t="shared" si="3"/>
        <v>114</v>
      </c>
      <c r="B117" s="2" t="s">
        <v>816</v>
      </c>
      <c r="C117" s="3" t="s">
        <v>817</v>
      </c>
      <c r="D117" s="3" t="s">
        <v>818</v>
      </c>
      <c r="E117" s="3" t="s">
        <v>35</v>
      </c>
      <c r="F117" s="3" t="s">
        <v>303</v>
      </c>
      <c r="G117" s="4">
        <v>46297</v>
      </c>
      <c r="H117" s="2" t="s">
        <v>37</v>
      </c>
      <c r="I117" s="2" t="s">
        <v>819</v>
      </c>
      <c r="J117" s="2" t="s">
        <v>39</v>
      </c>
      <c r="K117" s="2" t="s">
        <v>214</v>
      </c>
      <c r="L117" s="5">
        <v>-20.139568000000001</v>
      </c>
      <c r="M117" s="5">
        <v>148.05918299999999</v>
      </c>
      <c r="N117" s="3"/>
      <c r="O117" s="3" t="s">
        <v>41</v>
      </c>
      <c r="P117" s="3"/>
      <c r="Q117" s="3" t="s">
        <v>42</v>
      </c>
      <c r="R117" s="3" t="s">
        <v>44</v>
      </c>
      <c r="S117" s="3"/>
      <c r="T117" s="3"/>
      <c r="U117" s="3" t="s">
        <v>41</v>
      </c>
      <c r="V117" s="3" t="s">
        <v>43</v>
      </c>
      <c r="W117" s="3" t="s">
        <v>44</v>
      </c>
      <c r="X117" s="6" t="s">
        <v>44</v>
      </c>
      <c r="Y117" s="7"/>
      <c r="Z117" s="7"/>
      <c r="AA117" s="7"/>
      <c r="AB117" s="7"/>
      <c r="AC117" s="11" t="s">
        <v>820</v>
      </c>
      <c r="AD117" s="12" t="s">
        <v>209</v>
      </c>
      <c r="AE117" s="9" t="str">
        <f t="shared" si="2"/>
        <v>Open in Google Maps</v>
      </c>
    </row>
    <row r="118" spans="1:31" s="141" customFormat="1" ht="99" x14ac:dyDescent="0.3">
      <c r="A118" s="1">
        <f t="shared" si="3"/>
        <v>115</v>
      </c>
      <c r="B118" s="23" t="s">
        <v>821</v>
      </c>
      <c r="C118" s="13" t="s">
        <v>822</v>
      </c>
      <c r="D118" s="13" t="s">
        <v>823</v>
      </c>
      <c r="E118" s="13" t="s">
        <v>35</v>
      </c>
      <c r="F118" s="13" t="s">
        <v>36</v>
      </c>
      <c r="G118" s="24">
        <v>46464</v>
      </c>
      <c r="H118" s="28" t="s">
        <v>482</v>
      </c>
      <c r="I118" s="28" t="s">
        <v>824</v>
      </c>
      <c r="J118" s="28" t="s">
        <v>484</v>
      </c>
      <c r="K118" s="28" t="s">
        <v>485</v>
      </c>
      <c r="L118" s="5">
        <v>-22.8813</v>
      </c>
      <c r="M118" s="5">
        <v>140.43627599999999</v>
      </c>
      <c r="N118" s="13"/>
      <c r="O118" s="13"/>
      <c r="P118" s="13"/>
      <c r="Q118" s="13" t="s">
        <v>207</v>
      </c>
      <c r="R118" s="13" t="s">
        <v>44</v>
      </c>
      <c r="S118" s="13"/>
      <c r="T118" s="13"/>
      <c r="U118" s="13"/>
      <c r="V118" s="13" t="s">
        <v>122</v>
      </c>
      <c r="W118" s="13"/>
      <c r="X118" s="26"/>
      <c r="Y118" s="7"/>
      <c r="Z118" s="7"/>
      <c r="AA118" s="7"/>
      <c r="AB118" s="7"/>
      <c r="AC118" s="27" t="s">
        <v>825</v>
      </c>
      <c r="AD118" s="28" t="s">
        <v>124</v>
      </c>
      <c r="AE118" s="9" t="str">
        <f t="shared" si="2"/>
        <v>Open in Google Maps</v>
      </c>
    </row>
    <row r="119" spans="1:31" s="140" customFormat="1" ht="33" x14ac:dyDescent="0.3">
      <c r="A119" s="1">
        <f t="shared" si="3"/>
        <v>116</v>
      </c>
      <c r="B119" s="72" t="s">
        <v>826</v>
      </c>
      <c r="C119" s="30" t="s">
        <v>827</v>
      </c>
      <c r="D119" s="30" t="s">
        <v>828</v>
      </c>
      <c r="E119" s="30" t="s">
        <v>35</v>
      </c>
      <c r="F119" s="3" t="s">
        <v>88</v>
      </c>
      <c r="G119" s="67">
        <v>46683</v>
      </c>
      <c r="H119" s="72" t="s">
        <v>519</v>
      </c>
      <c r="I119" s="72" t="s">
        <v>829</v>
      </c>
      <c r="J119" s="72" t="s">
        <v>830</v>
      </c>
      <c r="K119" s="72" t="s">
        <v>831</v>
      </c>
      <c r="L119" s="73">
        <v>-24.108771999999998</v>
      </c>
      <c r="M119" s="73">
        <v>151.24007800000001</v>
      </c>
      <c r="N119" s="30"/>
      <c r="O119" s="30" t="s">
        <v>41</v>
      </c>
      <c r="P119" s="30"/>
      <c r="Q119" s="30" t="s">
        <v>41</v>
      </c>
      <c r="R119" s="30"/>
      <c r="S119" s="30"/>
      <c r="T119" s="30" t="s">
        <v>41</v>
      </c>
      <c r="U119" s="30" t="s">
        <v>41</v>
      </c>
      <c r="V119" s="30" t="s">
        <v>70</v>
      </c>
      <c r="W119" s="3" t="s">
        <v>44</v>
      </c>
      <c r="X119" s="82" t="s">
        <v>44</v>
      </c>
      <c r="Y119" s="40"/>
      <c r="Z119" s="7"/>
      <c r="AA119" s="30"/>
      <c r="AB119" s="7"/>
      <c r="AC119" s="83" t="s">
        <v>832</v>
      </c>
      <c r="AD119" s="28" t="s">
        <v>140</v>
      </c>
      <c r="AE119" s="9" t="str">
        <f t="shared" si="2"/>
        <v>Open in Google Maps</v>
      </c>
    </row>
    <row r="120" spans="1:31" s="141" customFormat="1" ht="49.5" x14ac:dyDescent="0.3">
      <c r="A120" s="1">
        <f t="shared" si="3"/>
        <v>117</v>
      </c>
      <c r="B120" s="72" t="s">
        <v>833</v>
      </c>
      <c r="C120" s="30" t="s">
        <v>834</v>
      </c>
      <c r="D120" s="30" t="s">
        <v>835</v>
      </c>
      <c r="E120" s="30" t="s">
        <v>35</v>
      </c>
      <c r="F120" s="13" t="s">
        <v>117</v>
      </c>
      <c r="G120" s="67">
        <v>46593</v>
      </c>
      <c r="H120" s="2" t="s">
        <v>683</v>
      </c>
      <c r="I120" s="72" t="s">
        <v>836</v>
      </c>
      <c r="J120" s="72" t="s">
        <v>837</v>
      </c>
      <c r="K120" s="72" t="s">
        <v>838</v>
      </c>
      <c r="L120" s="73">
        <v>-22.038399999999999</v>
      </c>
      <c r="M120" s="73">
        <v>148.06649999999999</v>
      </c>
      <c r="N120" s="30"/>
      <c r="O120" s="30" t="s">
        <v>149</v>
      </c>
      <c r="P120" s="30"/>
      <c r="Q120" s="13"/>
      <c r="R120" s="30"/>
      <c r="S120" s="30" t="s">
        <v>41</v>
      </c>
      <c r="T120" s="30"/>
      <c r="U120" s="30" t="s">
        <v>41</v>
      </c>
      <c r="V120" s="30" t="s">
        <v>764</v>
      </c>
      <c r="W120" s="30"/>
      <c r="X120" s="82"/>
      <c r="Y120" s="7"/>
      <c r="Z120" s="7"/>
      <c r="AA120" s="7"/>
      <c r="AB120" s="7"/>
      <c r="AC120" s="83" t="s">
        <v>112</v>
      </c>
      <c r="AD120" s="72" t="s">
        <v>113</v>
      </c>
      <c r="AE120" s="9" t="str">
        <f t="shared" si="2"/>
        <v>Open in Google Maps</v>
      </c>
    </row>
    <row r="121" spans="1:31" s="140" customFormat="1" ht="35.450000000000003" customHeight="1" x14ac:dyDescent="0.3">
      <c r="A121" s="1">
        <f t="shared" si="3"/>
        <v>118</v>
      </c>
      <c r="B121" s="72" t="s">
        <v>839</v>
      </c>
      <c r="C121" s="30" t="s">
        <v>840</v>
      </c>
      <c r="D121" s="30" t="s">
        <v>841</v>
      </c>
      <c r="E121" s="30" t="s">
        <v>35</v>
      </c>
      <c r="F121" s="13" t="s">
        <v>476</v>
      </c>
      <c r="G121" s="67">
        <v>46158</v>
      </c>
      <c r="H121" s="2" t="s">
        <v>195</v>
      </c>
      <c r="I121" s="2" t="s">
        <v>842</v>
      </c>
      <c r="J121" s="72" t="s">
        <v>843</v>
      </c>
      <c r="K121" s="72" t="s">
        <v>844</v>
      </c>
      <c r="L121" s="73">
        <v>-37.310920000000003</v>
      </c>
      <c r="M121" s="73">
        <v>150.94694699999999</v>
      </c>
      <c r="N121" s="30"/>
      <c r="O121" s="30"/>
      <c r="P121" s="30"/>
      <c r="Q121" s="13"/>
      <c r="R121" s="30"/>
      <c r="S121" s="30"/>
      <c r="T121" s="30"/>
      <c r="U121" s="30"/>
      <c r="V121" s="30" t="s">
        <v>845</v>
      </c>
      <c r="W121" s="30"/>
      <c r="X121" s="82"/>
      <c r="Y121" s="7"/>
      <c r="Z121" s="29" t="s">
        <v>44</v>
      </c>
      <c r="AA121" s="7"/>
      <c r="AB121" s="7"/>
      <c r="AC121" s="83" t="s">
        <v>846</v>
      </c>
      <c r="AD121" s="72" t="s">
        <v>124</v>
      </c>
      <c r="AE121" s="9" t="str">
        <f t="shared" si="2"/>
        <v>Open in Google Maps</v>
      </c>
    </row>
    <row r="122" spans="1:31" s="140" customFormat="1" ht="66" x14ac:dyDescent="0.3">
      <c r="A122" s="1">
        <f t="shared" si="3"/>
        <v>119</v>
      </c>
      <c r="B122" s="2" t="s">
        <v>847</v>
      </c>
      <c r="C122" s="3" t="s">
        <v>848</v>
      </c>
      <c r="D122" s="3" t="s">
        <v>849</v>
      </c>
      <c r="E122" s="3" t="s">
        <v>35</v>
      </c>
      <c r="F122" s="3" t="s">
        <v>303</v>
      </c>
      <c r="G122" s="4">
        <v>46233</v>
      </c>
      <c r="H122" s="2" t="s">
        <v>188</v>
      </c>
      <c r="I122" s="2" t="s">
        <v>850</v>
      </c>
      <c r="J122" s="2" t="s">
        <v>851</v>
      </c>
      <c r="K122" s="2" t="s">
        <v>850</v>
      </c>
      <c r="L122" s="5">
        <v>-25.596599999999999</v>
      </c>
      <c r="M122" s="5">
        <v>152.52449999999999</v>
      </c>
      <c r="N122" s="3"/>
      <c r="O122" s="39"/>
      <c r="P122" s="39"/>
      <c r="Q122" s="3" t="s">
        <v>42</v>
      </c>
      <c r="R122" s="3" t="s">
        <v>44</v>
      </c>
      <c r="S122" s="39"/>
      <c r="T122" s="3"/>
      <c r="U122" s="3"/>
      <c r="V122" s="3" t="s">
        <v>70</v>
      </c>
      <c r="W122" s="3" t="s">
        <v>44</v>
      </c>
      <c r="X122" s="6" t="s">
        <v>44</v>
      </c>
      <c r="Y122" s="92"/>
      <c r="Z122" s="7"/>
      <c r="AA122" s="7"/>
      <c r="AB122" s="7"/>
      <c r="AC122" s="11" t="s">
        <v>852</v>
      </c>
      <c r="AD122" s="12" t="s">
        <v>63</v>
      </c>
      <c r="AE122" s="9" t="str">
        <f t="shared" si="2"/>
        <v>Open in Google Maps</v>
      </c>
    </row>
    <row r="123" spans="1:31" s="140" customFormat="1" ht="66" x14ac:dyDescent="0.3">
      <c r="A123" s="1">
        <f t="shared" si="3"/>
        <v>120</v>
      </c>
      <c r="B123" s="2" t="s">
        <v>853</v>
      </c>
      <c r="C123" s="3" t="s">
        <v>854</v>
      </c>
      <c r="D123" s="3" t="s">
        <v>855</v>
      </c>
      <c r="E123" s="3" t="s">
        <v>35</v>
      </c>
      <c r="F123" s="3" t="s">
        <v>36</v>
      </c>
      <c r="G123" s="4">
        <v>46375</v>
      </c>
      <c r="H123" s="2" t="s">
        <v>272</v>
      </c>
      <c r="I123" s="2" t="s">
        <v>856</v>
      </c>
      <c r="J123" s="2" t="s">
        <v>857</v>
      </c>
      <c r="K123" s="2" t="s">
        <v>858</v>
      </c>
      <c r="L123" s="5">
        <v>-27.530283000000001</v>
      </c>
      <c r="M123" s="5">
        <v>151.96610000000001</v>
      </c>
      <c r="N123" s="3"/>
      <c r="O123" s="3" t="s">
        <v>44</v>
      </c>
      <c r="P123" s="3"/>
      <c r="Q123" s="3" t="s">
        <v>42</v>
      </c>
      <c r="R123" s="3" t="s">
        <v>44</v>
      </c>
      <c r="S123" s="3" t="s">
        <v>44</v>
      </c>
      <c r="T123" s="3" t="s">
        <v>44</v>
      </c>
      <c r="U123" s="3" t="s">
        <v>44</v>
      </c>
      <c r="V123" s="3" t="s">
        <v>70</v>
      </c>
      <c r="W123" s="3" t="s">
        <v>44</v>
      </c>
      <c r="X123" s="6" t="s">
        <v>44</v>
      </c>
      <c r="Y123" s="7"/>
      <c r="Z123" s="7"/>
      <c r="AA123" s="3"/>
      <c r="AB123" s="7"/>
      <c r="AC123" s="11" t="s">
        <v>859</v>
      </c>
      <c r="AD123" s="12" t="s">
        <v>113</v>
      </c>
      <c r="AE123" s="9" t="str">
        <f t="shared" si="2"/>
        <v>Open in Google Maps</v>
      </c>
    </row>
    <row r="124" spans="1:31" s="140" customFormat="1" ht="66" x14ac:dyDescent="0.3">
      <c r="A124" s="1">
        <f t="shared" si="3"/>
        <v>121</v>
      </c>
      <c r="B124" s="15" t="s">
        <v>860</v>
      </c>
      <c r="C124" s="16" t="s">
        <v>861</v>
      </c>
      <c r="D124" s="16" t="s">
        <v>862</v>
      </c>
      <c r="E124" s="16" t="s">
        <v>35</v>
      </c>
      <c r="F124" s="16" t="s">
        <v>88</v>
      </c>
      <c r="G124" s="17">
        <v>46472</v>
      </c>
      <c r="H124" s="15" t="s">
        <v>59</v>
      </c>
      <c r="I124" s="15" t="s">
        <v>863</v>
      </c>
      <c r="J124" s="15" t="s">
        <v>864</v>
      </c>
      <c r="K124" s="15" t="s">
        <v>865</v>
      </c>
      <c r="L124" s="19">
        <v>-26.979724000000001</v>
      </c>
      <c r="M124" s="19">
        <v>152.39169999999999</v>
      </c>
      <c r="N124" s="16"/>
      <c r="O124" s="16" t="s">
        <v>44</v>
      </c>
      <c r="P124" s="16" t="s">
        <v>44</v>
      </c>
      <c r="Q124" s="16" t="s">
        <v>42</v>
      </c>
      <c r="R124" s="16" t="s">
        <v>44</v>
      </c>
      <c r="S124" s="16" t="s">
        <v>44</v>
      </c>
      <c r="T124" s="16" t="s">
        <v>44</v>
      </c>
      <c r="U124" s="16" t="s">
        <v>44</v>
      </c>
      <c r="V124" s="16" t="s">
        <v>43</v>
      </c>
      <c r="W124" s="16" t="s">
        <v>44</v>
      </c>
      <c r="X124" s="20" t="s">
        <v>44</v>
      </c>
      <c r="Y124" s="16" t="s">
        <v>44</v>
      </c>
      <c r="Z124" s="16"/>
      <c r="AA124" s="16" t="s">
        <v>44</v>
      </c>
      <c r="AB124" s="16" t="s">
        <v>44</v>
      </c>
      <c r="AC124" s="65" t="s">
        <v>866</v>
      </c>
      <c r="AD124" s="15" t="s">
        <v>345</v>
      </c>
      <c r="AE124" s="9" t="str">
        <f t="shared" si="2"/>
        <v>Open in Google Maps</v>
      </c>
    </row>
    <row r="125" spans="1:31" s="140" customFormat="1" ht="66" x14ac:dyDescent="0.3">
      <c r="A125" s="1">
        <f t="shared" si="3"/>
        <v>122</v>
      </c>
      <c r="B125" s="2" t="s">
        <v>867</v>
      </c>
      <c r="C125" s="3" t="s">
        <v>868</v>
      </c>
      <c r="D125" s="3" t="s">
        <v>869</v>
      </c>
      <c r="E125" s="3" t="s">
        <v>35</v>
      </c>
      <c r="F125" s="3" t="s">
        <v>36</v>
      </c>
      <c r="G125" s="4">
        <v>46344</v>
      </c>
      <c r="H125" s="2" t="s">
        <v>145</v>
      </c>
      <c r="I125" s="2" t="s">
        <v>870</v>
      </c>
      <c r="J125" s="2" t="s">
        <v>498</v>
      </c>
      <c r="K125" s="2" t="s">
        <v>499</v>
      </c>
      <c r="L125" s="5">
        <v>-21.216356000000001</v>
      </c>
      <c r="M125" s="5">
        <v>149.05950899999999</v>
      </c>
      <c r="N125" s="3"/>
      <c r="O125" s="93" t="s">
        <v>44</v>
      </c>
      <c r="P125" s="93"/>
      <c r="Q125" s="3" t="s">
        <v>42</v>
      </c>
      <c r="R125" s="3" t="s">
        <v>44</v>
      </c>
      <c r="S125" s="3"/>
      <c r="T125" s="3"/>
      <c r="U125" s="3"/>
      <c r="V125" s="3" t="s">
        <v>70</v>
      </c>
      <c r="W125" s="3" t="s">
        <v>44</v>
      </c>
      <c r="X125" s="6" t="s">
        <v>44</v>
      </c>
      <c r="Y125" s="3"/>
      <c r="Z125" s="7"/>
      <c r="AA125" s="7"/>
      <c r="AB125" s="7"/>
      <c r="AC125" s="11" t="s">
        <v>871</v>
      </c>
      <c r="AD125" s="12" t="s">
        <v>247</v>
      </c>
      <c r="AE125" s="9" t="str">
        <f t="shared" si="2"/>
        <v>Open in Google Maps</v>
      </c>
    </row>
    <row r="126" spans="1:31" s="140" customFormat="1" ht="20.45" customHeight="1" x14ac:dyDescent="0.3">
      <c r="A126" s="1">
        <f t="shared" si="3"/>
        <v>123</v>
      </c>
      <c r="B126" s="2" t="s">
        <v>872</v>
      </c>
      <c r="C126" s="3" t="s">
        <v>873</v>
      </c>
      <c r="D126" s="3" t="s">
        <v>874</v>
      </c>
      <c r="E126" s="3" t="s">
        <v>35</v>
      </c>
      <c r="F126" s="3" t="s">
        <v>144</v>
      </c>
      <c r="G126" s="4">
        <v>46506</v>
      </c>
      <c r="H126" s="2" t="s">
        <v>683</v>
      </c>
      <c r="I126" s="2" t="s">
        <v>875</v>
      </c>
      <c r="J126" s="2" t="s">
        <v>876</v>
      </c>
      <c r="K126" s="2" t="s">
        <v>877</v>
      </c>
      <c r="L126" s="5">
        <v>-21.884938999999999</v>
      </c>
      <c r="M126" s="5">
        <v>148.56135800000001</v>
      </c>
      <c r="N126" s="3"/>
      <c r="O126" s="3"/>
      <c r="P126" s="3"/>
      <c r="Q126" s="3"/>
      <c r="R126" s="3"/>
      <c r="S126" s="3" t="s">
        <v>44</v>
      </c>
      <c r="T126" s="3" t="s">
        <v>44</v>
      </c>
      <c r="U126" s="3"/>
      <c r="V126" s="3"/>
      <c r="W126" s="3"/>
      <c r="X126" s="6"/>
      <c r="Y126" s="7"/>
      <c r="Z126" s="7"/>
      <c r="AA126" s="7"/>
      <c r="AB126" s="3" t="s">
        <v>44</v>
      </c>
      <c r="AC126" s="11" t="s">
        <v>878</v>
      </c>
      <c r="AD126" s="12" t="s">
        <v>55</v>
      </c>
      <c r="AE126" s="9" t="str">
        <f t="shared" si="2"/>
        <v>Open in Google Maps</v>
      </c>
    </row>
    <row r="127" spans="1:31" s="140" customFormat="1" ht="20.45" customHeight="1" x14ac:dyDescent="0.3">
      <c r="A127" s="1">
        <f t="shared" si="3"/>
        <v>124</v>
      </c>
      <c r="B127" s="23" t="s">
        <v>879</v>
      </c>
      <c r="C127" s="13" t="s">
        <v>880</v>
      </c>
      <c r="D127" s="13" t="s">
        <v>881</v>
      </c>
      <c r="E127" s="13" t="s">
        <v>35</v>
      </c>
      <c r="F127" s="3" t="s">
        <v>36</v>
      </c>
      <c r="G127" s="4">
        <v>46233</v>
      </c>
      <c r="H127" s="2" t="s">
        <v>280</v>
      </c>
      <c r="I127" s="28" t="s">
        <v>882</v>
      </c>
      <c r="J127" s="2" t="s">
        <v>883</v>
      </c>
      <c r="K127" s="2" t="s">
        <v>882</v>
      </c>
      <c r="L127" s="73">
        <v>-27.889399999999998</v>
      </c>
      <c r="M127" s="73">
        <v>153.28957</v>
      </c>
      <c r="N127" s="13"/>
      <c r="O127" s="3"/>
      <c r="P127" s="3"/>
      <c r="Q127" s="13"/>
      <c r="R127" s="13"/>
      <c r="S127" s="3" t="s">
        <v>44</v>
      </c>
      <c r="T127" s="13" t="s">
        <v>44</v>
      </c>
      <c r="U127" s="13"/>
      <c r="V127" s="13"/>
      <c r="W127" s="13"/>
      <c r="X127" s="26"/>
      <c r="Y127" s="7"/>
      <c r="Z127" s="7"/>
      <c r="AA127" s="7"/>
      <c r="AB127" s="7"/>
      <c r="AC127" s="27" t="s">
        <v>672</v>
      </c>
      <c r="AD127" s="2" t="s">
        <v>55</v>
      </c>
      <c r="AE127" s="9" t="str">
        <f t="shared" si="2"/>
        <v>Open in Google Maps</v>
      </c>
    </row>
    <row r="128" spans="1:31" s="140" customFormat="1" ht="33" x14ac:dyDescent="0.3">
      <c r="A128" s="1">
        <f t="shared" si="3"/>
        <v>125</v>
      </c>
      <c r="B128" s="68" t="s">
        <v>884</v>
      </c>
      <c r="C128" s="55" t="s">
        <v>885</v>
      </c>
      <c r="D128" s="55" t="s">
        <v>886</v>
      </c>
      <c r="E128" s="42" t="s">
        <v>35</v>
      </c>
      <c r="F128" s="16" t="s">
        <v>36</v>
      </c>
      <c r="G128" s="69">
        <v>46271</v>
      </c>
      <c r="H128" s="2" t="s">
        <v>418</v>
      </c>
      <c r="I128" s="64" t="s">
        <v>887</v>
      </c>
      <c r="J128" s="64" t="s">
        <v>888</v>
      </c>
      <c r="K128" s="64" t="s">
        <v>889</v>
      </c>
      <c r="L128" s="19">
        <v>-19.640550000000001</v>
      </c>
      <c r="M128" s="19">
        <v>147.10605000000001</v>
      </c>
      <c r="N128" s="55"/>
      <c r="O128" s="55"/>
      <c r="P128" s="55"/>
      <c r="Q128" s="55"/>
      <c r="R128" s="55"/>
      <c r="S128" s="55" t="s">
        <v>44</v>
      </c>
      <c r="T128" s="55" t="s">
        <v>44</v>
      </c>
      <c r="U128" s="55"/>
      <c r="V128" s="55"/>
      <c r="W128" s="55"/>
      <c r="X128" s="70"/>
      <c r="Y128" s="7"/>
      <c r="Z128" s="7"/>
      <c r="AA128" s="7"/>
      <c r="AB128" s="7" t="s">
        <v>44</v>
      </c>
      <c r="AC128" s="27" t="s">
        <v>890</v>
      </c>
      <c r="AD128" s="64" t="s">
        <v>55</v>
      </c>
      <c r="AE128" s="9" t="str">
        <f t="shared" si="2"/>
        <v>Open in Google Maps</v>
      </c>
    </row>
    <row r="129" spans="1:31" s="140" customFormat="1" ht="34.9" customHeight="1" x14ac:dyDescent="0.3">
      <c r="A129" s="1">
        <f t="shared" si="3"/>
        <v>126</v>
      </c>
      <c r="B129" s="23" t="s">
        <v>891</v>
      </c>
      <c r="C129" s="13" t="s">
        <v>892</v>
      </c>
      <c r="D129" s="13" t="s">
        <v>893</v>
      </c>
      <c r="E129" s="3" t="s">
        <v>35</v>
      </c>
      <c r="F129" s="13" t="s">
        <v>36</v>
      </c>
      <c r="G129" s="24">
        <v>46344</v>
      </c>
      <c r="H129" s="2" t="s">
        <v>418</v>
      </c>
      <c r="I129" s="28" t="s">
        <v>894</v>
      </c>
      <c r="J129" s="28" t="s">
        <v>895</v>
      </c>
      <c r="K129" s="28" t="s">
        <v>896</v>
      </c>
      <c r="L129" s="5">
        <v>-19.6065</v>
      </c>
      <c r="M129" s="5">
        <v>147.10024999999999</v>
      </c>
      <c r="N129" s="13"/>
      <c r="O129" s="13"/>
      <c r="P129" s="13"/>
      <c r="Q129" s="13"/>
      <c r="R129" s="13"/>
      <c r="S129" s="13" t="s">
        <v>44</v>
      </c>
      <c r="T129" s="13" t="s">
        <v>44</v>
      </c>
      <c r="U129" s="13"/>
      <c r="V129" s="13"/>
      <c r="W129" s="13"/>
      <c r="X129" s="26"/>
      <c r="Y129" s="7"/>
      <c r="Z129" s="7"/>
      <c r="AA129" s="7"/>
      <c r="AB129" s="7"/>
      <c r="AC129" s="27" t="s">
        <v>897</v>
      </c>
      <c r="AD129" s="2" t="s">
        <v>55</v>
      </c>
      <c r="AE129" s="9" t="str">
        <f t="shared" si="2"/>
        <v>Open in Google Maps</v>
      </c>
    </row>
    <row r="130" spans="1:31" s="141" customFormat="1" ht="31.9" customHeight="1" x14ac:dyDescent="0.3">
      <c r="A130" s="1">
        <f t="shared" si="3"/>
        <v>127</v>
      </c>
      <c r="B130" s="2" t="s">
        <v>898</v>
      </c>
      <c r="C130" s="3" t="s">
        <v>899</v>
      </c>
      <c r="D130" s="3" t="s">
        <v>900</v>
      </c>
      <c r="E130" s="3" t="s">
        <v>35</v>
      </c>
      <c r="F130" s="3" t="s">
        <v>36</v>
      </c>
      <c r="G130" s="4">
        <v>46348</v>
      </c>
      <c r="H130" s="2" t="s">
        <v>418</v>
      </c>
      <c r="I130" s="2" t="s">
        <v>901</v>
      </c>
      <c r="J130" s="2" t="s">
        <v>260</v>
      </c>
      <c r="K130" s="2" t="s">
        <v>902</v>
      </c>
      <c r="L130" s="5">
        <v>-19.697199999999999</v>
      </c>
      <c r="M130" s="5">
        <v>147.07550000000001</v>
      </c>
      <c r="N130" s="14"/>
      <c r="O130" s="3" t="s">
        <v>41</v>
      </c>
      <c r="P130" s="3"/>
      <c r="Q130" s="3" t="s">
        <v>41</v>
      </c>
      <c r="R130" s="3"/>
      <c r="S130" s="3" t="s">
        <v>44</v>
      </c>
      <c r="T130" s="3" t="s">
        <v>44</v>
      </c>
      <c r="U130" s="3"/>
      <c r="V130" s="3" t="s">
        <v>149</v>
      </c>
      <c r="W130" s="3"/>
      <c r="X130" s="6"/>
      <c r="Y130" s="7"/>
      <c r="Z130" s="7"/>
      <c r="AA130" s="7"/>
      <c r="AB130" s="3" t="s">
        <v>44</v>
      </c>
      <c r="AC130" s="8" t="s">
        <v>897</v>
      </c>
      <c r="AD130" s="2" t="s">
        <v>55</v>
      </c>
      <c r="AE130" s="9" t="str">
        <f t="shared" si="2"/>
        <v>Open in Google Maps</v>
      </c>
    </row>
    <row r="131" spans="1:31" s="140" customFormat="1" ht="34.9" customHeight="1" x14ac:dyDescent="0.3">
      <c r="A131" s="1">
        <f t="shared" si="3"/>
        <v>128</v>
      </c>
      <c r="B131" s="2" t="s">
        <v>903</v>
      </c>
      <c r="C131" s="3" t="s">
        <v>904</v>
      </c>
      <c r="D131" s="3" t="s">
        <v>905</v>
      </c>
      <c r="E131" s="3" t="s">
        <v>35</v>
      </c>
      <c r="F131" s="3" t="s">
        <v>36</v>
      </c>
      <c r="G131" s="4">
        <v>46325</v>
      </c>
      <c r="H131" s="2" t="s">
        <v>82</v>
      </c>
      <c r="I131" s="2" t="s">
        <v>906</v>
      </c>
      <c r="J131" s="2" t="s">
        <v>907</v>
      </c>
      <c r="K131" s="2" t="s">
        <v>908</v>
      </c>
      <c r="L131" s="5">
        <v>-27.426670000000001</v>
      </c>
      <c r="M131" s="5">
        <v>153.13542000000001</v>
      </c>
      <c r="N131" s="3"/>
      <c r="O131" s="3" t="s">
        <v>41</v>
      </c>
      <c r="P131" s="3"/>
      <c r="Q131" s="3" t="s">
        <v>41</v>
      </c>
      <c r="R131" s="3"/>
      <c r="S131" s="3" t="s">
        <v>44</v>
      </c>
      <c r="T131" s="3" t="s">
        <v>44</v>
      </c>
      <c r="U131" s="3" t="s">
        <v>41</v>
      </c>
      <c r="V131" s="3" t="s">
        <v>149</v>
      </c>
      <c r="W131" s="3"/>
      <c r="X131" s="6"/>
      <c r="Y131" s="7"/>
      <c r="Z131" s="7"/>
      <c r="AA131" s="7"/>
      <c r="AB131" s="7"/>
      <c r="AC131" s="11" t="s">
        <v>909</v>
      </c>
      <c r="AD131" s="12" t="s">
        <v>55</v>
      </c>
      <c r="AE131" s="9" t="str">
        <f t="shared" si="2"/>
        <v>Open in Google Maps</v>
      </c>
    </row>
    <row r="132" spans="1:31" s="140" customFormat="1" ht="33.6" customHeight="1" x14ac:dyDescent="0.3">
      <c r="A132" s="1">
        <f t="shared" si="3"/>
        <v>129</v>
      </c>
      <c r="B132" s="2" t="s">
        <v>910</v>
      </c>
      <c r="C132" s="3" t="s">
        <v>911</v>
      </c>
      <c r="D132" s="3" t="s">
        <v>912</v>
      </c>
      <c r="E132" s="3" t="s">
        <v>35</v>
      </c>
      <c r="F132" s="3" t="s">
        <v>144</v>
      </c>
      <c r="G132" s="4">
        <v>46533</v>
      </c>
      <c r="H132" s="2" t="s">
        <v>913</v>
      </c>
      <c r="I132" s="2" t="s">
        <v>914</v>
      </c>
      <c r="J132" s="2" t="s">
        <v>915</v>
      </c>
      <c r="K132" s="2" t="s">
        <v>916</v>
      </c>
      <c r="L132" s="5">
        <v>-18.625900000000001</v>
      </c>
      <c r="M132" s="5">
        <v>146.101686</v>
      </c>
      <c r="N132" s="3"/>
      <c r="O132" s="3" t="s">
        <v>41</v>
      </c>
      <c r="P132" s="3"/>
      <c r="Q132" s="3" t="s">
        <v>41</v>
      </c>
      <c r="R132" s="3"/>
      <c r="S132" s="3" t="s">
        <v>44</v>
      </c>
      <c r="T132" s="3" t="s">
        <v>44</v>
      </c>
      <c r="U132" s="3"/>
      <c r="V132" s="3" t="s">
        <v>149</v>
      </c>
      <c r="W132" s="3"/>
      <c r="X132" s="6"/>
      <c r="Y132" s="7"/>
      <c r="Z132" s="7"/>
      <c r="AA132" s="3" t="s">
        <v>44</v>
      </c>
      <c r="AB132" s="7"/>
      <c r="AC132" s="8" t="s">
        <v>917</v>
      </c>
      <c r="AD132" s="2" t="s">
        <v>55</v>
      </c>
      <c r="AE132" s="9" t="str">
        <f t="shared" ref="AE132:AE196" si="4">HYPERLINK("https://maps.google.com/?q="&amp;L132&amp;","&amp;M132,"Open in Google Maps")</f>
        <v>Open in Google Maps</v>
      </c>
    </row>
    <row r="133" spans="1:31" s="141" customFormat="1" ht="33.6" customHeight="1" x14ac:dyDescent="0.3">
      <c r="A133" s="1">
        <f t="shared" si="3"/>
        <v>130</v>
      </c>
      <c r="B133" s="2" t="s">
        <v>918</v>
      </c>
      <c r="C133" s="3" t="s">
        <v>919</v>
      </c>
      <c r="D133" s="3" t="s">
        <v>920</v>
      </c>
      <c r="E133" s="3" t="s">
        <v>35</v>
      </c>
      <c r="F133" s="3" t="s">
        <v>144</v>
      </c>
      <c r="G133" s="4">
        <v>46229</v>
      </c>
      <c r="H133" s="2" t="s">
        <v>145</v>
      </c>
      <c r="I133" s="2" t="s">
        <v>921</v>
      </c>
      <c r="J133" s="2" t="s">
        <v>922</v>
      </c>
      <c r="K133" s="2" t="s">
        <v>923</v>
      </c>
      <c r="L133" s="5">
        <v>-21.231634</v>
      </c>
      <c r="M133" s="5">
        <v>148.813545</v>
      </c>
      <c r="N133" s="3"/>
      <c r="O133" s="3" t="s">
        <v>41</v>
      </c>
      <c r="P133" s="3"/>
      <c r="Q133" s="3" t="s">
        <v>41</v>
      </c>
      <c r="R133" s="3"/>
      <c r="S133" s="3" t="s">
        <v>44</v>
      </c>
      <c r="T133" s="3" t="s">
        <v>44</v>
      </c>
      <c r="U133" s="3" t="s">
        <v>41</v>
      </c>
      <c r="V133" s="3" t="s">
        <v>149</v>
      </c>
      <c r="W133" s="3"/>
      <c r="X133" s="6"/>
      <c r="Y133" s="7"/>
      <c r="Z133" s="7"/>
      <c r="AA133" s="7"/>
      <c r="AB133" s="29" t="s">
        <v>44</v>
      </c>
      <c r="AC133" s="11" t="s">
        <v>924</v>
      </c>
      <c r="AD133" s="2" t="s">
        <v>55</v>
      </c>
      <c r="AE133" s="9" t="str">
        <f t="shared" si="4"/>
        <v>Open in Google Maps</v>
      </c>
    </row>
    <row r="134" spans="1:31" s="140" customFormat="1" ht="21" customHeight="1" x14ac:dyDescent="0.3">
      <c r="A134" s="1">
        <f t="shared" ref="A134:A197" si="5">A133+1</f>
        <v>131</v>
      </c>
      <c r="B134" s="15" t="s">
        <v>925</v>
      </c>
      <c r="C134" s="16" t="s">
        <v>926</v>
      </c>
      <c r="D134" s="16" t="s">
        <v>927</v>
      </c>
      <c r="E134" s="16" t="s">
        <v>35</v>
      </c>
      <c r="F134" s="16" t="s">
        <v>36</v>
      </c>
      <c r="G134" s="17">
        <v>46192</v>
      </c>
      <c r="H134" s="15" t="s">
        <v>50</v>
      </c>
      <c r="I134" s="15" t="s">
        <v>928</v>
      </c>
      <c r="J134" s="15" t="s">
        <v>929</v>
      </c>
      <c r="K134" s="15" t="s">
        <v>930</v>
      </c>
      <c r="L134" s="19">
        <v>-19.529700999999999</v>
      </c>
      <c r="M134" s="19">
        <v>146.80725200000001</v>
      </c>
      <c r="N134" s="16"/>
      <c r="O134" s="16"/>
      <c r="P134" s="16"/>
      <c r="Q134" s="16"/>
      <c r="R134" s="16"/>
      <c r="S134" s="16" t="s">
        <v>44</v>
      </c>
      <c r="T134" s="16" t="s">
        <v>44</v>
      </c>
      <c r="U134" s="16"/>
      <c r="V134" s="16"/>
      <c r="W134" s="16"/>
      <c r="X134" s="20"/>
      <c r="Y134" s="7"/>
      <c r="Z134" s="7"/>
      <c r="AA134" s="7"/>
      <c r="AB134" s="7"/>
      <c r="AC134" s="21" t="s">
        <v>931</v>
      </c>
      <c r="AD134" s="2" t="s">
        <v>55</v>
      </c>
      <c r="AE134" s="9" t="str">
        <f t="shared" si="4"/>
        <v>Open in Google Maps</v>
      </c>
    </row>
    <row r="135" spans="1:31" s="141" customFormat="1" ht="66" x14ac:dyDescent="0.3">
      <c r="A135" s="1">
        <f t="shared" si="5"/>
        <v>132</v>
      </c>
      <c r="B135" s="15" t="s">
        <v>932</v>
      </c>
      <c r="C135" s="16" t="s">
        <v>933</v>
      </c>
      <c r="D135" s="16" t="s">
        <v>934</v>
      </c>
      <c r="E135" s="16" t="s">
        <v>35</v>
      </c>
      <c r="F135" s="16" t="s">
        <v>36</v>
      </c>
      <c r="G135" s="17">
        <v>46376</v>
      </c>
      <c r="H135" s="15" t="s">
        <v>811</v>
      </c>
      <c r="I135" s="15" t="s">
        <v>935</v>
      </c>
      <c r="J135" s="15" t="s">
        <v>936</v>
      </c>
      <c r="K135" s="15" t="s">
        <v>937</v>
      </c>
      <c r="L135" s="19">
        <v>-26.627369999999999</v>
      </c>
      <c r="M135" s="19">
        <v>151.94399999999999</v>
      </c>
      <c r="N135" s="16"/>
      <c r="O135" s="16"/>
      <c r="P135" s="16"/>
      <c r="Q135" s="16" t="s">
        <v>42</v>
      </c>
      <c r="R135" s="16" t="s">
        <v>44</v>
      </c>
      <c r="S135" s="16"/>
      <c r="T135" s="16"/>
      <c r="U135" s="16" t="s">
        <v>41</v>
      </c>
      <c r="V135" s="16" t="s">
        <v>70</v>
      </c>
      <c r="W135" s="16" t="s">
        <v>44</v>
      </c>
      <c r="X135" s="20" t="s">
        <v>44</v>
      </c>
      <c r="Y135" s="7"/>
      <c r="Z135" s="7"/>
      <c r="AA135" s="7"/>
      <c r="AB135" s="7"/>
      <c r="AC135" s="21" t="s">
        <v>938</v>
      </c>
      <c r="AD135" s="22" t="s">
        <v>247</v>
      </c>
      <c r="AE135" s="9" t="str">
        <f t="shared" si="4"/>
        <v>Open in Google Maps</v>
      </c>
    </row>
    <row r="136" spans="1:31" s="141" customFormat="1" ht="34.15" customHeight="1" x14ac:dyDescent="0.3">
      <c r="A136" s="1">
        <f t="shared" si="5"/>
        <v>133</v>
      </c>
      <c r="B136" s="2" t="s">
        <v>939</v>
      </c>
      <c r="C136" s="3" t="s">
        <v>940</v>
      </c>
      <c r="D136" s="3" t="s">
        <v>941</v>
      </c>
      <c r="E136" s="3" t="s">
        <v>35</v>
      </c>
      <c r="F136" s="13" t="s">
        <v>36</v>
      </c>
      <c r="G136" s="4">
        <v>46499</v>
      </c>
      <c r="H136" s="2" t="s">
        <v>145</v>
      </c>
      <c r="I136" s="2" t="s">
        <v>942</v>
      </c>
      <c r="J136" s="10" t="s">
        <v>943</v>
      </c>
      <c r="K136" s="2" t="s">
        <v>944</v>
      </c>
      <c r="L136" s="5">
        <v>-21.311</v>
      </c>
      <c r="M136" s="5">
        <v>149.19999999999999</v>
      </c>
      <c r="N136" s="3"/>
      <c r="O136" s="3" t="s">
        <v>41</v>
      </c>
      <c r="P136" s="3"/>
      <c r="Q136" s="3" t="s">
        <v>41</v>
      </c>
      <c r="R136" s="3"/>
      <c r="S136" s="3" t="s">
        <v>44</v>
      </c>
      <c r="T136" s="3" t="s">
        <v>44</v>
      </c>
      <c r="U136" s="3" t="s">
        <v>41</v>
      </c>
      <c r="V136" s="3" t="s">
        <v>149</v>
      </c>
      <c r="W136" s="3"/>
      <c r="X136" s="6"/>
      <c r="Y136" s="40"/>
      <c r="Z136" s="7"/>
      <c r="AA136" s="7"/>
      <c r="AB136" s="3" t="s">
        <v>44</v>
      </c>
      <c r="AC136" s="8" t="s">
        <v>945</v>
      </c>
      <c r="AD136" s="2" t="s">
        <v>55</v>
      </c>
      <c r="AE136" s="9" t="str">
        <f t="shared" si="4"/>
        <v>Open in Google Maps</v>
      </c>
    </row>
    <row r="137" spans="1:31" s="141" customFormat="1" ht="66" x14ac:dyDescent="0.3">
      <c r="A137" s="1">
        <f t="shared" si="5"/>
        <v>134</v>
      </c>
      <c r="B137" s="49" t="s">
        <v>946</v>
      </c>
      <c r="C137" s="50" t="s">
        <v>947</v>
      </c>
      <c r="D137" s="50" t="s">
        <v>948</v>
      </c>
      <c r="E137" s="50" t="s">
        <v>35</v>
      </c>
      <c r="F137" s="16" t="s">
        <v>88</v>
      </c>
      <c r="G137" s="51">
        <v>46652</v>
      </c>
      <c r="H137" s="49" t="s">
        <v>280</v>
      </c>
      <c r="I137" s="49" t="s">
        <v>949</v>
      </c>
      <c r="J137" s="49" t="s">
        <v>724</v>
      </c>
      <c r="K137" s="49" t="s">
        <v>949</v>
      </c>
      <c r="L137" s="52">
        <v>-27.785</v>
      </c>
      <c r="M137" s="53">
        <v>153.226</v>
      </c>
      <c r="N137" s="54"/>
      <c r="O137" s="50" t="s">
        <v>44</v>
      </c>
      <c r="P137" s="50"/>
      <c r="Q137" s="55" t="s">
        <v>42</v>
      </c>
      <c r="R137" s="50" t="s">
        <v>44</v>
      </c>
      <c r="S137" s="50" t="s">
        <v>44</v>
      </c>
      <c r="T137" s="50" t="s">
        <v>44</v>
      </c>
      <c r="U137" s="94" t="s">
        <v>44</v>
      </c>
      <c r="V137" s="50" t="s">
        <v>43</v>
      </c>
      <c r="W137" s="50" t="s">
        <v>44</v>
      </c>
      <c r="X137" s="57" t="s">
        <v>44</v>
      </c>
      <c r="Y137" s="50" t="s">
        <v>44</v>
      </c>
      <c r="Z137" s="50"/>
      <c r="AA137" s="50" t="s">
        <v>44</v>
      </c>
      <c r="AB137" s="50" t="s">
        <v>44</v>
      </c>
      <c r="AC137" s="58" t="s">
        <v>950</v>
      </c>
      <c r="AD137" s="49" t="s">
        <v>247</v>
      </c>
      <c r="AE137" s="9" t="str">
        <f t="shared" si="4"/>
        <v>Open in Google Maps</v>
      </c>
    </row>
    <row r="138" spans="1:31" s="141" customFormat="1" ht="33" x14ac:dyDescent="0.3">
      <c r="A138" s="1">
        <f t="shared" si="5"/>
        <v>135</v>
      </c>
      <c r="B138" s="95" t="s">
        <v>951</v>
      </c>
      <c r="C138" s="96" t="s">
        <v>952</v>
      </c>
      <c r="D138" s="96" t="s">
        <v>953</v>
      </c>
      <c r="E138" s="96" t="s">
        <v>35</v>
      </c>
      <c r="F138" s="96" t="s">
        <v>117</v>
      </c>
      <c r="G138" s="97">
        <v>46758</v>
      </c>
      <c r="H138" s="95" t="s">
        <v>581</v>
      </c>
      <c r="I138" s="95" t="s">
        <v>954</v>
      </c>
      <c r="J138" s="95" t="s">
        <v>943</v>
      </c>
      <c r="K138" s="95" t="s">
        <v>944</v>
      </c>
      <c r="L138" s="98">
        <v>-26.605001000000001</v>
      </c>
      <c r="M138" s="98">
        <v>152.983</v>
      </c>
      <c r="N138" s="96"/>
      <c r="O138" s="96" t="s">
        <v>41</v>
      </c>
      <c r="P138" s="96"/>
      <c r="Q138" s="96" t="s">
        <v>41</v>
      </c>
      <c r="R138" s="96"/>
      <c r="S138" s="96" t="s">
        <v>41</v>
      </c>
      <c r="T138" s="96" t="s">
        <v>41</v>
      </c>
      <c r="U138" s="96" t="s">
        <v>41</v>
      </c>
      <c r="V138" s="96" t="s">
        <v>70</v>
      </c>
      <c r="W138" s="96" t="s">
        <v>44</v>
      </c>
      <c r="X138" s="99" t="s">
        <v>44</v>
      </c>
      <c r="Y138" s="100"/>
      <c r="Z138" s="96" t="s">
        <v>44</v>
      </c>
      <c r="AA138" s="101"/>
      <c r="AB138" s="101"/>
      <c r="AC138" s="102" t="s">
        <v>955</v>
      </c>
      <c r="AD138" s="103" t="s">
        <v>63</v>
      </c>
      <c r="AE138" s="9" t="str">
        <f t="shared" si="4"/>
        <v>Open in Google Maps</v>
      </c>
    </row>
    <row r="139" spans="1:31" s="140" customFormat="1" ht="66" x14ac:dyDescent="0.3">
      <c r="A139" s="1">
        <f t="shared" si="5"/>
        <v>136</v>
      </c>
      <c r="B139" s="2" t="s">
        <v>956</v>
      </c>
      <c r="C139" s="3" t="s">
        <v>957</v>
      </c>
      <c r="D139" s="3" t="s">
        <v>958</v>
      </c>
      <c r="E139" s="3" t="s">
        <v>35</v>
      </c>
      <c r="F139" s="3" t="s">
        <v>303</v>
      </c>
      <c r="G139" s="67">
        <v>46459</v>
      </c>
      <c r="H139" s="2" t="s">
        <v>50</v>
      </c>
      <c r="I139" s="2" t="s">
        <v>959</v>
      </c>
      <c r="J139" s="2" t="s">
        <v>724</v>
      </c>
      <c r="K139" s="2" t="s">
        <v>944</v>
      </c>
      <c r="L139" s="5">
        <v>-19.265196</v>
      </c>
      <c r="M139" s="5">
        <v>146.69167100000001</v>
      </c>
      <c r="N139" s="3"/>
      <c r="O139" s="3"/>
      <c r="P139" s="3"/>
      <c r="Q139" s="3" t="s">
        <v>42</v>
      </c>
      <c r="R139" s="3" t="s">
        <v>44</v>
      </c>
      <c r="S139" s="3" t="s">
        <v>44</v>
      </c>
      <c r="T139" s="3"/>
      <c r="U139" s="3"/>
      <c r="V139" s="3" t="s">
        <v>70</v>
      </c>
      <c r="W139" s="3" t="s">
        <v>44</v>
      </c>
      <c r="X139" s="6" t="s">
        <v>44</v>
      </c>
      <c r="Y139" s="7"/>
      <c r="Z139" s="7"/>
      <c r="AA139" s="3" t="s">
        <v>44</v>
      </c>
      <c r="AB139" s="3" t="s">
        <v>44</v>
      </c>
      <c r="AC139" s="11" t="s">
        <v>960</v>
      </c>
      <c r="AD139" s="12" t="s">
        <v>209</v>
      </c>
      <c r="AE139" s="9" t="str">
        <f t="shared" si="4"/>
        <v>Open in Google Maps</v>
      </c>
    </row>
    <row r="140" spans="1:31" s="143" customFormat="1" ht="33.6" customHeight="1" x14ac:dyDescent="0.3">
      <c r="A140" s="1">
        <f t="shared" si="5"/>
        <v>137</v>
      </c>
      <c r="B140" s="15" t="s">
        <v>961</v>
      </c>
      <c r="C140" s="16" t="s">
        <v>962</v>
      </c>
      <c r="D140" s="16" t="s">
        <v>963</v>
      </c>
      <c r="E140" s="16" t="s">
        <v>35</v>
      </c>
      <c r="F140" s="16" t="s">
        <v>36</v>
      </c>
      <c r="G140" s="17">
        <v>46605</v>
      </c>
      <c r="H140" s="15" t="s">
        <v>50</v>
      </c>
      <c r="I140" s="15" t="s">
        <v>964</v>
      </c>
      <c r="J140" s="15" t="s">
        <v>724</v>
      </c>
      <c r="K140" s="15" t="s">
        <v>965</v>
      </c>
      <c r="L140" s="19">
        <v>-19.336037000000001</v>
      </c>
      <c r="M140" s="19">
        <v>147.041797</v>
      </c>
      <c r="N140" s="16"/>
      <c r="O140" s="16" t="s">
        <v>41</v>
      </c>
      <c r="P140" s="16"/>
      <c r="Q140" s="16" t="s">
        <v>41</v>
      </c>
      <c r="R140" s="16"/>
      <c r="S140" s="16" t="s">
        <v>44</v>
      </c>
      <c r="T140" s="16" t="s">
        <v>44</v>
      </c>
      <c r="U140" s="16" t="s">
        <v>41</v>
      </c>
      <c r="V140" s="16" t="s">
        <v>149</v>
      </c>
      <c r="W140" s="16"/>
      <c r="X140" s="20"/>
      <c r="Y140" s="7"/>
      <c r="Z140" s="7"/>
      <c r="AA140" s="7"/>
      <c r="AB140" s="16" t="s">
        <v>44</v>
      </c>
      <c r="AC140" s="65" t="s">
        <v>966</v>
      </c>
      <c r="AD140" s="15" t="s">
        <v>55</v>
      </c>
      <c r="AE140" s="9" t="str">
        <f t="shared" si="4"/>
        <v>Open in Google Maps</v>
      </c>
    </row>
    <row r="141" spans="1:31" s="141" customFormat="1" ht="19.149999999999999" customHeight="1" x14ac:dyDescent="0.3">
      <c r="A141" s="1">
        <f t="shared" si="5"/>
        <v>138</v>
      </c>
      <c r="B141" s="41" t="s">
        <v>967</v>
      </c>
      <c r="C141" s="42" t="s">
        <v>968</v>
      </c>
      <c r="D141" s="42" t="s">
        <v>969</v>
      </c>
      <c r="E141" s="42" t="s">
        <v>35</v>
      </c>
      <c r="F141" s="16" t="s">
        <v>303</v>
      </c>
      <c r="G141" s="43">
        <v>46446</v>
      </c>
      <c r="H141" s="15" t="s">
        <v>82</v>
      </c>
      <c r="I141" s="41" t="s">
        <v>970</v>
      </c>
      <c r="J141" s="15" t="s">
        <v>943</v>
      </c>
      <c r="K141" s="15" t="s">
        <v>725</v>
      </c>
      <c r="L141" s="44">
        <v>-27.426819999999999</v>
      </c>
      <c r="M141" s="44">
        <v>153.13455999999999</v>
      </c>
      <c r="N141" s="42"/>
      <c r="O141" s="42" t="s">
        <v>41</v>
      </c>
      <c r="P141" s="42"/>
      <c r="Q141" s="42" t="s">
        <v>41</v>
      </c>
      <c r="R141" s="42"/>
      <c r="S141" s="42" t="s">
        <v>44</v>
      </c>
      <c r="T141" s="42" t="s">
        <v>44</v>
      </c>
      <c r="U141" s="42" t="s">
        <v>41</v>
      </c>
      <c r="V141" s="42" t="s">
        <v>149</v>
      </c>
      <c r="W141" s="42"/>
      <c r="X141" s="45"/>
      <c r="Y141" s="7"/>
      <c r="Z141" s="7"/>
      <c r="AA141" s="7"/>
      <c r="AB141" s="3" t="s">
        <v>44</v>
      </c>
      <c r="AC141" s="104" t="s">
        <v>971</v>
      </c>
      <c r="AD141" s="41" t="s">
        <v>55</v>
      </c>
      <c r="AE141" s="9" t="str">
        <f t="shared" si="4"/>
        <v>Open in Google Maps</v>
      </c>
    </row>
    <row r="142" spans="1:31" s="140" customFormat="1" ht="66" x14ac:dyDescent="0.3">
      <c r="A142" s="1">
        <f t="shared" si="5"/>
        <v>139</v>
      </c>
      <c r="B142" s="23" t="s">
        <v>972</v>
      </c>
      <c r="C142" s="13" t="s">
        <v>973</v>
      </c>
      <c r="D142" s="13" t="s">
        <v>974</v>
      </c>
      <c r="E142" s="13" t="s">
        <v>35</v>
      </c>
      <c r="F142" s="13" t="s">
        <v>88</v>
      </c>
      <c r="G142" s="24">
        <v>46227</v>
      </c>
      <c r="H142" s="32" t="s">
        <v>975</v>
      </c>
      <c r="I142" s="32" t="s">
        <v>976</v>
      </c>
      <c r="J142" s="32" t="s">
        <v>724</v>
      </c>
      <c r="K142" s="32" t="s">
        <v>944</v>
      </c>
      <c r="L142" s="35">
        <v>-23.39188</v>
      </c>
      <c r="M142" s="35">
        <v>150.59398999999999</v>
      </c>
      <c r="N142" s="13"/>
      <c r="O142" s="1" t="s">
        <v>44</v>
      </c>
      <c r="P142" s="1"/>
      <c r="Q142" s="1" t="s">
        <v>42</v>
      </c>
      <c r="R142" s="1" t="s">
        <v>44</v>
      </c>
      <c r="S142" s="1" t="s">
        <v>44</v>
      </c>
      <c r="T142" s="13" t="s">
        <v>44</v>
      </c>
      <c r="U142" s="13" t="s">
        <v>44</v>
      </c>
      <c r="V142" s="1" t="s">
        <v>70</v>
      </c>
      <c r="W142" s="13" t="s">
        <v>44</v>
      </c>
      <c r="X142" s="26" t="s">
        <v>44</v>
      </c>
      <c r="Y142" s="13"/>
      <c r="Z142" s="7"/>
      <c r="AA142" s="13" t="s">
        <v>44</v>
      </c>
      <c r="AB142" s="13" t="s">
        <v>44</v>
      </c>
      <c r="AC142" s="27" t="s">
        <v>977</v>
      </c>
      <c r="AD142" s="28" t="s">
        <v>247</v>
      </c>
      <c r="AE142" s="9" t="str">
        <f t="shared" si="4"/>
        <v>Open in Google Maps</v>
      </c>
    </row>
    <row r="143" spans="1:31" s="140" customFormat="1" ht="49.5" x14ac:dyDescent="0.3">
      <c r="A143" s="1">
        <f t="shared" si="5"/>
        <v>140</v>
      </c>
      <c r="B143" s="2" t="s">
        <v>978</v>
      </c>
      <c r="C143" s="3" t="s">
        <v>979</v>
      </c>
      <c r="D143" s="3" t="s">
        <v>980</v>
      </c>
      <c r="E143" s="3" t="s">
        <v>202</v>
      </c>
      <c r="F143" s="3" t="s">
        <v>303</v>
      </c>
      <c r="G143" s="4">
        <v>46059</v>
      </c>
      <c r="H143" s="2" t="s">
        <v>364</v>
      </c>
      <c r="I143" s="2" t="s">
        <v>981</v>
      </c>
      <c r="J143" s="2" t="s">
        <v>943</v>
      </c>
      <c r="K143" s="2" t="s">
        <v>725</v>
      </c>
      <c r="L143" s="5">
        <v>-27.242428</v>
      </c>
      <c r="M143" s="5">
        <v>152.92307199999999</v>
      </c>
      <c r="N143" s="3"/>
      <c r="O143" s="3" t="s">
        <v>44</v>
      </c>
      <c r="P143" s="3" t="s">
        <v>44</v>
      </c>
      <c r="Q143" s="13"/>
      <c r="R143" s="3" t="s">
        <v>44</v>
      </c>
      <c r="S143" s="3" t="s">
        <v>44</v>
      </c>
      <c r="T143" s="3" t="s">
        <v>44</v>
      </c>
      <c r="U143" s="3" t="s">
        <v>44</v>
      </c>
      <c r="V143" s="3" t="s">
        <v>43</v>
      </c>
      <c r="W143" s="3" t="s">
        <v>44</v>
      </c>
      <c r="X143" s="6" t="s">
        <v>44</v>
      </c>
      <c r="Y143" s="3" t="s">
        <v>44</v>
      </c>
      <c r="Z143" s="3" t="s">
        <v>44</v>
      </c>
      <c r="AA143" s="3" t="s">
        <v>44</v>
      </c>
      <c r="AB143" s="3" t="s">
        <v>44</v>
      </c>
      <c r="AC143" s="8" t="s">
        <v>377</v>
      </c>
      <c r="AD143" s="2" t="s">
        <v>247</v>
      </c>
      <c r="AE143" s="9" t="str">
        <f>HYPERLINK("https://maps.google.com/?q="&amp;L143&amp;","&amp;M143,"Open in Google Maps")</f>
        <v>Open in Google Maps</v>
      </c>
    </row>
    <row r="144" spans="1:31" s="144" customFormat="1" ht="33.6" customHeight="1" x14ac:dyDescent="0.3">
      <c r="A144" s="1">
        <f t="shared" si="5"/>
        <v>141</v>
      </c>
      <c r="B144" s="15" t="s">
        <v>982</v>
      </c>
      <c r="C144" s="16" t="s">
        <v>983</v>
      </c>
      <c r="D144" s="3" t="s">
        <v>984</v>
      </c>
      <c r="E144" s="16" t="s">
        <v>35</v>
      </c>
      <c r="F144" s="16" t="s">
        <v>36</v>
      </c>
      <c r="G144" s="17">
        <v>46358</v>
      </c>
      <c r="H144" s="15" t="s">
        <v>985</v>
      </c>
      <c r="I144" s="15" t="s">
        <v>986</v>
      </c>
      <c r="J144" s="15" t="s">
        <v>943</v>
      </c>
      <c r="K144" s="15" t="s">
        <v>987</v>
      </c>
      <c r="L144" s="19">
        <v>-28.841314000000001</v>
      </c>
      <c r="M144" s="19">
        <v>153.487998</v>
      </c>
      <c r="N144" s="16"/>
      <c r="O144" s="16"/>
      <c r="P144" s="16"/>
      <c r="Q144" s="16"/>
      <c r="R144" s="16" t="s">
        <v>44</v>
      </c>
      <c r="S144" s="16" t="s">
        <v>44</v>
      </c>
      <c r="T144" s="16"/>
      <c r="U144" s="16"/>
      <c r="V144" s="16"/>
      <c r="W144" s="16"/>
      <c r="X144" s="20"/>
      <c r="Y144" s="40"/>
      <c r="Z144" s="16"/>
      <c r="AA144" s="29" t="s">
        <v>44</v>
      </c>
      <c r="AB144" s="16" t="s">
        <v>44</v>
      </c>
      <c r="AC144" s="21" t="s">
        <v>988</v>
      </c>
      <c r="AD144" s="22" t="s">
        <v>247</v>
      </c>
      <c r="AE144" s="9" t="str">
        <f t="shared" si="4"/>
        <v>Open in Google Maps</v>
      </c>
    </row>
    <row r="145" spans="1:31" s="140" customFormat="1" ht="21.6" customHeight="1" x14ac:dyDescent="0.3">
      <c r="A145" s="1">
        <f t="shared" si="5"/>
        <v>142</v>
      </c>
      <c r="B145" s="2" t="s">
        <v>989</v>
      </c>
      <c r="C145" s="3" t="s">
        <v>990</v>
      </c>
      <c r="D145" s="3" t="s">
        <v>991</v>
      </c>
      <c r="E145" s="3" t="s">
        <v>35</v>
      </c>
      <c r="F145" s="4" t="s">
        <v>36</v>
      </c>
      <c r="G145" s="4">
        <v>46648</v>
      </c>
      <c r="H145" s="2" t="s">
        <v>683</v>
      </c>
      <c r="I145" s="2" t="s">
        <v>992</v>
      </c>
      <c r="J145" s="10" t="s">
        <v>837</v>
      </c>
      <c r="K145" s="2" t="s">
        <v>838</v>
      </c>
      <c r="L145" s="5">
        <v>22.0274</v>
      </c>
      <c r="M145" s="5">
        <v>148.12200000000001</v>
      </c>
      <c r="N145" s="14"/>
      <c r="O145" s="3"/>
      <c r="P145" s="3"/>
      <c r="Q145" s="3"/>
      <c r="R145" s="3"/>
      <c r="S145" s="3" t="s">
        <v>44</v>
      </c>
      <c r="T145" s="3" t="s">
        <v>44</v>
      </c>
      <c r="U145" s="3"/>
      <c r="V145" s="3"/>
      <c r="W145" s="3"/>
      <c r="X145" s="6"/>
      <c r="Y145" s="7"/>
      <c r="Z145" s="7"/>
      <c r="AA145" s="7"/>
      <c r="AB145" s="7"/>
      <c r="AC145" s="8" t="s">
        <v>993</v>
      </c>
      <c r="AD145" s="2" t="s">
        <v>55</v>
      </c>
      <c r="AE145" s="9" t="str">
        <f t="shared" si="4"/>
        <v>Open in Google Maps</v>
      </c>
    </row>
    <row r="146" spans="1:31" s="140" customFormat="1" ht="66" x14ac:dyDescent="0.3">
      <c r="A146" s="1">
        <f t="shared" si="5"/>
        <v>143</v>
      </c>
      <c r="B146" s="2" t="s">
        <v>994</v>
      </c>
      <c r="C146" s="3" t="s">
        <v>995</v>
      </c>
      <c r="D146" s="3" t="s">
        <v>996</v>
      </c>
      <c r="E146" s="3" t="s">
        <v>35</v>
      </c>
      <c r="F146" s="3" t="s">
        <v>36</v>
      </c>
      <c r="G146" s="4">
        <v>46764</v>
      </c>
      <c r="H146" s="2" t="s">
        <v>195</v>
      </c>
      <c r="I146" s="2" t="s">
        <v>997</v>
      </c>
      <c r="J146" s="105" t="s">
        <v>998</v>
      </c>
      <c r="K146" s="2" t="s">
        <v>999</v>
      </c>
      <c r="L146" s="5">
        <v>-27.062999999999999</v>
      </c>
      <c r="M146" s="5">
        <v>151.286</v>
      </c>
      <c r="N146" s="3"/>
      <c r="O146" s="3"/>
      <c r="P146" s="3"/>
      <c r="Q146" s="3" t="s">
        <v>42</v>
      </c>
      <c r="R146" s="3" t="s">
        <v>44</v>
      </c>
      <c r="S146" s="3"/>
      <c r="T146" s="3" t="s">
        <v>44</v>
      </c>
      <c r="U146" s="3"/>
      <c r="V146" s="3" t="s">
        <v>70</v>
      </c>
      <c r="W146" s="3" t="s">
        <v>44</v>
      </c>
      <c r="X146" s="6" t="s">
        <v>44</v>
      </c>
      <c r="Y146" s="3"/>
      <c r="Z146" s="3"/>
      <c r="AA146" s="3" t="s">
        <v>44</v>
      </c>
      <c r="AB146" s="3"/>
      <c r="AC146" s="11" t="s">
        <v>1000</v>
      </c>
      <c r="AD146" s="12" t="s">
        <v>113</v>
      </c>
      <c r="AE146" s="9" t="str">
        <f t="shared" si="4"/>
        <v>Open in Google Maps</v>
      </c>
    </row>
    <row r="147" spans="1:31" s="140" customFormat="1" ht="66" x14ac:dyDescent="0.3">
      <c r="A147" s="1">
        <f t="shared" si="5"/>
        <v>144</v>
      </c>
      <c r="B147" s="72" t="s">
        <v>1001</v>
      </c>
      <c r="C147" s="30" t="s">
        <v>1002</v>
      </c>
      <c r="D147" s="30" t="s">
        <v>1003</v>
      </c>
      <c r="E147" s="30" t="s">
        <v>35</v>
      </c>
      <c r="F147" s="13" t="s">
        <v>303</v>
      </c>
      <c r="G147" s="67">
        <v>46572</v>
      </c>
      <c r="H147" s="72" t="s">
        <v>304</v>
      </c>
      <c r="I147" s="72" t="s">
        <v>1004</v>
      </c>
      <c r="J147" s="72" t="s">
        <v>1005</v>
      </c>
      <c r="K147" s="72" t="s">
        <v>1006</v>
      </c>
      <c r="L147" s="73">
        <v>-28.201947000000001</v>
      </c>
      <c r="M147" s="73">
        <v>151.92713800000001</v>
      </c>
      <c r="N147" s="30"/>
      <c r="O147" s="13" t="s">
        <v>44</v>
      </c>
      <c r="P147" s="106"/>
      <c r="Q147" s="13" t="s">
        <v>42</v>
      </c>
      <c r="R147" s="30" t="s">
        <v>44</v>
      </c>
      <c r="S147" s="30" t="s">
        <v>44</v>
      </c>
      <c r="T147" s="30" t="s">
        <v>44</v>
      </c>
      <c r="U147" s="30" t="s">
        <v>44</v>
      </c>
      <c r="V147" s="30" t="s">
        <v>70</v>
      </c>
      <c r="W147" s="30" t="s">
        <v>44</v>
      </c>
      <c r="X147" s="82" t="s">
        <v>44</v>
      </c>
      <c r="Y147" s="7"/>
      <c r="Z147" s="7"/>
      <c r="AA147" s="30" t="s">
        <v>44</v>
      </c>
      <c r="AB147" s="30" t="s">
        <v>44</v>
      </c>
      <c r="AC147" s="83" t="s">
        <v>1007</v>
      </c>
      <c r="AD147" s="72" t="s">
        <v>247</v>
      </c>
      <c r="AE147" s="9" t="str">
        <f t="shared" si="4"/>
        <v>Open in Google Maps</v>
      </c>
    </row>
    <row r="148" spans="1:31" s="140" customFormat="1" ht="48.6" customHeight="1" x14ac:dyDescent="0.3">
      <c r="A148" s="1">
        <f t="shared" si="5"/>
        <v>145</v>
      </c>
      <c r="B148" s="2" t="s">
        <v>1008</v>
      </c>
      <c r="C148" s="3" t="s">
        <v>1009</v>
      </c>
      <c r="D148" s="3" t="s">
        <v>1010</v>
      </c>
      <c r="E148" s="3" t="s">
        <v>35</v>
      </c>
      <c r="F148" s="3" t="s">
        <v>36</v>
      </c>
      <c r="G148" s="24">
        <v>46743</v>
      </c>
      <c r="H148" s="2" t="s">
        <v>50</v>
      </c>
      <c r="I148" s="2" t="s">
        <v>1011</v>
      </c>
      <c r="J148" s="10" t="s">
        <v>1012</v>
      </c>
      <c r="K148" s="2" t="s">
        <v>61</v>
      </c>
      <c r="L148" s="5">
        <v>-19.657</v>
      </c>
      <c r="M148" s="5">
        <v>146.79840300000001</v>
      </c>
      <c r="N148" s="3"/>
      <c r="O148" s="3"/>
      <c r="P148" s="3" t="s">
        <v>44</v>
      </c>
      <c r="Q148" s="3" t="s">
        <v>207</v>
      </c>
      <c r="R148" s="3"/>
      <c r="S148" s="3"/>
      <c r="T148" s="3"/>
      <c r="U148" s="3"/>
      <c r="V148" s="3" t="s">
        <v>70</v>
      </c>
      <c r="W148" s="3" t="s">
        <v>44</v>
      </c>
      <c r="X148" s="6" t="s">
        <v>44</v>
      </c>
      <c r="Y148" s="3"/>
      <c r="Z148" s="3"/>
      <c r="AA148" s="3"/>
      <c r="AB148" s="3"/>
      <c r="AC148" s="8" t="s">
        <v>1013</v>
      </c>
      <c r="AD148" s="2" t="s">
        <v>247</v>
      </c>
      <c r="AE148" s="9" t="str">
        <f t="shared" si="4"/>
        <v>Open in Google Maps</v>
      </c>
    </row>
    <row r="149" spans="1:31" s="140" customFormat="1" ht="33" x14ac:dyDescent="0.3">
      <c r="A149" s="1">
        <f t="shared" si="5"/>
        <v>146</v>
      </c>
      <c r="B149" s="15" t="s">
        <v>1014</v>
      </c>
      <c r="C149" s="16" t="s">
        <v>1015</v>
      </c>
      <c r="D149" s="16" t="s">
        <v>1016</v>
      </c>
      <c r="E149" s="16" t="s">
        <v>35</v>
      </c>
      <c r="F149" s="16" t="s">
        <v>36</v>
      </c>
      <c r="G149" s="17">
        <v>46493</v>
      </c>
      <c r="H149" s="15" t="s">
        <v>581</v>
      </c>
      <c r="I149" s="15" t="s">
        <v>1017</v>
      </c>
      <c r="J149" s="18" t="s">
        <v>581</v>
      </c>
      <c r="K149" s="15" t="s">
        <v>1018</v>
      </c>
      <c r="L149" s="19">
        <v>-26.596768000000001</v>
      </c>
      <c r="M149" s="19">
        <v>152.942138</v>
      </c>
      <c r="N149" s="16"/>
      <c r="O149" s="16" t="s">
        <v>41</v>
      </c>
      <c r="P149" s="16"/>
      <c r="Q149" s="16"/>
      <c r="R149" s="16" t="s">
        <v>41</v>
      </c>
      <c r="S149" s="16" t="s">
        <v>41</v>
      </c>
      <c r="T149" s="16" t="s">
        <v>41</v>
      </c>
      <c r="U149" s="16" t="s">
        <v>41</v>
      </c>
      <c r="V149" s="16" t="s">
        <v>1019</v>
      </c>
      <c r="W149" s="16" t="s">
        <v>44</v>
      </c>
      <c r="X149" s="20" t="s">
        <v>44</v>
      </c>
      <c r="Y149" s="16"/>
      <c r="Z149" s="7"/>
      <c r="AA149" s="7"/>
      <c r="AB149" s="7"/>
      <c r="AC149" s="65" t="s">
        <v>1020</v>
      </c>
      <c r="AD149" s="15" t="s">
        <v>209</v>
      </c>
      <c r="AE149" s="9" t="str">
        <f t="shared" si="4"/>
        <v>Open in Google Maps</v>
      </c>
    </row>
    <row r="150" spans="1:31" s="140" customFormat="1" ht="66" x14ac:dyDescent="0.3">
      <c r="A150" s="1">
        <f t="shared" si="5"/>
        <v>147</v>
      </c>
      <c r="B150" s="15" t="s">
        <v>1021</v>
      </c>
      <c r="C150" s="16" t="s">
        <v>1022</v>
      </c>
      <c r="D150" s="16" t="s">
        <v>1023</v>
      </c>
      <c r="E150" s="16" t="s">
        <v>202</v>
      </c>
      <c r="F150" s="55" t="s">
        <v>36</v>
      </c>
      <c r="G150" s="17">
        <v>46059</v>
      </c>
      <c r="H150" s="15" t="s">
        <v>118</v>
      </c>
      <c r="I150" s="15" t="s">
        <v>1024</v>
      </c>
      <c r="J150" s="15" t="s">
        <v>220</v>
      </c>
      <c r="K150" s="15" t="s">
        <v>1025</v>
      </c>
      <c r="L150" s="19">
        <v>-28.395</v>
      </c>
      <c r="M150" s="19">
        <v>151.19200000000001</v>
      </c>
      <c r="N150" s="16"/>
      <c r="O150" s="106"/>
      <c r="P150" s="106"/>
      <c r="Q150" s="55" t="s">
        <v>42</v>
      </c>
      <c r="R150" s="16" t="s">
        <v>44</v>
      </c>
      <c r="S150" s="16"/>
      <c r="T150" s="16"/>
      <c r="U150" s="16" t="s">
        <v>41</v>
      </c>
      <c r="V150" s="16" t="s">
        <v>70</v>
      </c>
      <c r="W150" s="16"/>
      <c r="X150" s="20"/>
      <c r="Y150" s="7"/>
      <c r="Z150" s="7"/>
      <c r="AA150" s="7"/>
      <c r="AB150" s="7"/>
      <c r="AC150" s="65" t="s">
        <v>1026</v>
      </c>
      <c r="AD150" s="15" t="s">
        <v>113</v>
      </c>
      <c r="AE150" s="9" t="str">
        <f t="shared" si="4"/>
        <v>Open in Google Maps</v>
      </c>
    </row>
    <row r="151" spans="1:31" s="140" customFormat="1" ht="35.450000000000003" customHeight="1" x14ac:dyDescent="0.3">
      <c r="A151" s="1">
        <f t="shared" si="5"/>
        <v>148</v>
      </c>
      <c r="B151" s="23" t="s">
        <v>1027</v>
      </c>
      <c r="C151" s="13" t="s">
        <v>1028</v>
      </c>
      <c r="D151" s="13" t="s">
        <v>1029</v>
      </c>
      <c r="E151" s="13" t="s">
        <v>35</v>
      </c>
      <c r="F151" s="13" t="s">
        <v>144</v>
      </c>
      <c r="G151" s="24">
        <v>46779</v>
      </c>
      <c r="H151" s="15" t="s">
        <v>418</v>
      </c>
      <c r="I151" s="28" t="s">
        <v>1030</v>
      </c>
      <c r="J151" s="28" t="s">
        <v>794</v>
      </c>
      <c r="K151" s="28" t="s">
        <v>795</v>
      </c>
      <c r="L151" s="25">
        <v>-19.709705</v>
      </c>
      <c r="M151" s="5">
        <v>147.54917399999999</v>
      </c>
      <c r="N151" s="13"/>
      <c r="O151" s="13"/>
      <c r="P151" s="13"/>
      <c r="Q151" s="13"/>
      <c r="R151" s="13"/>
      <c r="S151" s="13" t="s">
        <v>44</v>
      </c>
      <c r="T151" s="13" t="s">
        <v>44</v>
      </c>
      <c r="U151" s="13"/>
      <c r="V151" s="13"/>
      <c r="W151" s="13"/>
      <c r="X151" s="26"/>
      <c r="Y151" s="7"/>
      <c r="Z151" s="7"/>
      <c r="AA151" s="7"/>
      <c r="AB151" s="13" t="s">
        <v>44</v>
      </c>
      <c r="AC151" s="27" t="s">
        <v>542</v>
      </c>
      <c r="AD151" s="2" t="s">
        <v>55</v>
      </c>
      <c r="AE151" s="9" t="str">
        <f t="shared" si="4"/>
        <v>Open in Google Maps</v>
      </c>
    </row>
    <row r="152" spans="1:31" s="140" customFormat="1" ht="33" x14ac:dyDescent="0.3">
      <c r="A152" s="1">
        <f t="shared" si="5"/>
        <v>149</v>
      </c>
      <c r="B152" s="2" t="s">
        <v>1031</v>
      </c>
      <c r="C152" s="3" t="s">
        <v>1032</v>
      </c>
      <c r="D152" s="3" t="s">
        <v>1033</v>
      </c>
      <c r="E152" s="3" t="s">
        <v>35</v>
      </c>
      <c r="F152" s="4" t="s">
        <v>36</v>
      </c>
      <c r="G152" s="4">
        <v>46292</v>
      </c>
      <c r="H152" s="2" t="s">
        <v>280</v>
      </c>
      <c r="I152" s="2" t="s">
        <v>1034</v>
      </c>
      <c r="J152" s="10" t="s">
        <v>1035</v>
      </c>
      <c r="K152" s="2" t="s">
        <v>1034</v>
      </c>
      <c r="L152" s="73">
        <v>-27.905999999999999</v>
      </c>
      <c r="M152" s="73">
        <v>153.286</v>
      </c>
      <c r="N152" s="3" t="s">
        <v>44</v>
      </c>
      <c r="O152" s="3"/>
      <c r="P152" s="3"/>
      <c r="Q152" s="3"/>
      <c r="R152" s="3"/>
      <c r="S152" s="3"/>
      <c r="T152" s="3"/>
      <c r="U152" s="3"/>
      <c r="V152" s="3" t="s">
        <v>1036</v>
      </c>
      <c r="W152" s="3"/>
      <c r="X152" s="6"/>
      <c r="Y152" s="7"/>
      <c r="Z152" s="7"/>
      <c r="AA152" s="7"/>
      <c r="AB152" s="7"/>
      <c r="AC152" s="8" t="s">
        <v>98</v>
      </c>
      <c r="AD152" s="2" t="s">
        <v>99</v>
      </c>
      <c r="AE152" s="9" t="str">
        <f t="shared" si="4"/>
        <v>Open in Google Maps</v>
      </c>
    </row>
    <row r="153" spans="1:31" s="140" customFormat="1" ht="66" x14ac:dyDescent="0.3">
      <c r="A153" s="1">
        <f t="shared" si="5"/>
        <v>150</v>
      </c>
      <c r="B153" s="15" t="s">
        <v>1037</v>
      </c>
      <c r="C153" s="16" t="s">
        <v>1038</v>
      </c>
      <c r="D153" s="16" t="s">
        <v>1039</v>
      </c>
      <c r="E153" s="16" t="s">
        <v>35</v>
      </c>
      <c r="F153" s="16" t="s">
        <v>36</v>
      </c>
      <c r="G153" s="17">
        <v>46444</v>
      </c>
      <c r="H153" s="15" t="s">
        <v>195</v>
      </c>
      <c r="I153" s="15" t="s">
        <v>1040</v>
      </c>
      <c r="J153" s="18" t="s">
        <v>195</v>
      </c>
      <c r="K153" s="15" t="s">
        <v>1041</v>
      </c>
      <c r="L153" s="19">
        <v>-26.972000000000001</v>
      </c>
      <c r="M153" s="19">
        <v>151.28700000000001</v>
      </c>
      <c r="N153" s="66"/>
      <c r="O153" s="16"/>
      <c r="P153" s="16"/>
      <c r="Q153" s="16" t="s">
        <v>42</v>
      </c>
      <c r="R153" s="16"/>
      <c r="S153" s="16" t="s">
        <v>41</v>
      </c>
      <c r="T153" s="16" t="s">
        <v>41</v>
      </c>
      <c r="U153" s="16"/>
      <c r="V153" s="16">
        <v>3</v>
      </c>
      <c r="W153" s="16"/>
      <c r="X153" s="20"/>
      <c r="Y153" s="89"/>
      <c r="Z153" s="89"/>
      <c r="AA153" s="89"/>
      <c r="AB153" s="89"/>
      <c r="AC153" s="65" t="s">
        <v>255</v>
      </c>
      <c r="AD153" s="15" t="s">
        <v>113</v>
      </c>
      <c r="AE153" s="9" t="str">
        <f t="shared" si="4"/>
        <v>Open in Google Maps</v>
      </c>
    </row>
    <row r="154" spans="1:31" s="140" customFormat="1" ht="66" x14ac:dyDescent="0.3">
      <c r="A154" s="1">
        <f t="shared" si="5"/>
        <v>151</v>
      </c>
      <c r="B154" s="2" t="s">
        <v>1042</v>
      </c>
      <c r="C154" s="3" t="s">
        <v>1043</v>
      </c>
      <c r="D154" s="3" t="s">
        <v>1044</v>
      </c>
      <c r="E154" s="3" t="s">
        <v>35</v>
      </c>
      <c r="F154" s="13" t="s">
        <v>88</v>
      </c>
      <c r="G154" s="4">
        <v>46158</v>
      </c>
      <c r="H154" s="2" t="s">
        <v>272</v>
      </c>
      <c r="I154" s="2" t="s">
        <v>1045</v>
      </c>
      <c r="J154" s="2" t="s">
        <v>843</v>
      </c>
      <c r="K154" s="2" t="s">
        <v>844</v>
      </c>
      <c r="L154" s="5">
        <v>-27.355</v>
      </c>
      <c r="M154" s="5">
        <v>151.614</v>
      </c>
      <c r="N154" s="3"/>
      <c r="O154" s="3"/>
      <c r="P154" s="3"/>
      <c r="Q154" s="3" t="s">
        <v>42</v>
      </c>
      <c r="R154" s="3" t="s">
        <v>44</v>
      </c>
      <c r="S154" s="3"/>
      <c r="T154" s="3"/>
      <c r="U154" s="3"/>
      <c r="V154" s="3" t="s">
        <v>70</v>
      </c>
      <c r="W154" s="3"/>
      <c r="X154" s="6"/>
      <c r="Y154" s="7"/>
      <c r="Z154" s="7"/>
      <c r="AA154" s="7"/>
      <c r="AB154" s="7"/>
      <c r="AC154" s="11" t="s">
        <v>1000</v>
      </c>
      <c r="AD154" s="12" t="s">
        <v>113</v>
      </c>
      <c r="AE154" s="9" t="str">
        <f t="shared" si="4"/>
        <v>Open in Google Maps</v>
      </c>
    </row>
    <row r="155" spans="1:31" s="141" customFormat="1" ht="34.15" customHeight="1" x14ac:dyDescent="0.3">
      <c r="A155" s="1">
        <f t="shared" si="5"/>
        <v>152</v>
      </c>
      <c r="B155" s="2" t="s">
        <v>1046</v>
      </c>
      <c r="C155" s="3" t="s">
        <v>1047</v>
      </c>
      <c r="D155" s="3" t="s">
        <v>1048</v>
      </c>
      <c r="E155" s="3" t="s">
        <v>202</v>
      </c>
      <c r="F155" s="3" t="s">
        <v>36</v>
      </c>
      <c r="G155" s="4">
        <v>46084</v>
      </c>
      <c r="H155" s="2" t="s">
        <v>195</v>
      </c>
      <c r="I155" s="2" t="s">
        <v>1049</v>
      </c>
      <c r="J155" s="2" t="s">
        <v>1050</v>
      </c>
      <c r="K155" s="2" t="s">
        <v>1051</v>
      </c>
      <c r="L155" s="5">
        <v>-26.351825000000002</v>
      </c>
      <c r="M155" s="5">
        <v>150.02274</v>
      </c>
      <c r="N155" s="3"/>
      <c r="O155" s="3"/>
      <c r="P155" s="3"/>
      <c r="Q155" s="3"/>
      <c r="R155" s="3"/>
      <c r="S155" s="3" t="s">
        <v>44</v>
      </c>
      <c r="T155" s="3" t="s">
        <v>44</v>
      </c>
      <c r="U155" s="3"/>
      <c r="V155" s="3"/>
      <c r="W155" s="3"/>
      <c r="X155" s="6"/>
      <c r="Y155" s="7"/>
      <c r="Z155" s="40"/>
      <c r="AA155" s="40"/>
      <c r="AB155" s="7"/>
      <c r="AC155" s="11" t="s">
        <v>1052</v>
      </c>
      <c r="AD155" s="12" t="s">
        <v>1053</v>
      </c>
      <c r="AE155" s="9" t="str">
        <f t="shared" si="4"/>
        <v>Open in Google Maps</v>
      </c>
    </row>
    <row r="156" spans="1:31" s="140" customFormat="1" ht="49.5" x14ac:dyDescent="0.3">
      <c r="A156" s="1">
        <f t="shared" si="5"/>
        <v>153</v>
      </c>
      <c r="B156" s="2" t="s">
        <v>1054</v>
      </c>
      <c r="C156" s="3" t="s">
        <v>1055</v>
      </c>
      <c r="D156" s="3" t="s">
        <v>1056</v>
      </c>
      <c r="E156" s="3" t="s">
        <v>35</v>
      </c>
      <c r="F156" s="3" t="s">
        <v>36</v>
      </c>
      <c r="G156" s="4">
        <v>46116</v>
      </c>
      <c r="H156" s="2" t="s">
        <v>203</v>
      </c>
      <c r="I156" s="2" t="s">
        <v>1057</v>
      </c>
      <c r="J156" s="2" t="s">
        <v>1058</v>
      </c>
      <c r="K156" s="2" t="s">
        <v>1059</v>
      </c>
      <c r="L156" s="5">
        <v>-18.105018569999999</v>
      </c>
      <c r="M156" s="5">
        <v>142.26012</v>
      </c>
      <c r="N156" s="14"/>
      <c r="O156" s="3" t="s">
        <v>41</v>
      </c>
      <c r="P156" s="3"/>
      <c r="Q156" s="3" t="s">
        <v>1060</v>
      </c>
      <c r="R156" s="3" t="s">
        <v>44</v>
      </c>
      <c r="S156" s="3" t="s">
        <v>41</v>
      </c>
      <c r="T156" s="3" t="s">
        <v>41</v>
      </c>
      <c r="U156" s="3" t="s">
        <v>41</v>
      </c>
      <c r="V156" s="3" t="s">
        <v>1061</v>
      </c>
      <c r="W156" s="3"/>
      <c r="X156" s="6"/>
      <c r="Y156" s="7"/>
      <c r="Z156" s="7"/>
      <c r="AA156" s="7"/>
      <c r="AB156" s="7"/>
      <c r="AC156" s="11" t="s">
        <v>1062</v>
      </c>
      <c r="AD156" s="12" t="s">
        <v>209</v>
      </c>
      <c r="AE156" s="9" t="str">
        <f t="shared" si="4"/>
        <v>Open in Google Maps</v>
      </c>
    </row>
    <row r="157" spans="1:31" s="140" customFormat="1" ht="66" x14ac:dyDescent="0.3">
      <c r="A157" s="1">
        <f t="shared" si="5"/>
        <v>154</v>
      </c>
      <c r="B157" s="72" t="s">
        <v>1063</v>
      </c>
      <c r="C157" s="42" t="s">
        <v>1064</v>
      </c>
      <c r="D157" s="42" t="s">
        <v>1065</v>
      </c>
      <c r="E157" s="42" t="s">
        <v>35</v>
      </c>
      <c r="F157" s="16" t="s">
        <v>88</v>
      </c>
      <c r="G157" s="43">
        <v>46558</v>
      </c>
      <c r="H157" s="41" t="s">
        <v>1066</v>
      </c>
      <c r="I157" s="41" t="s">
        <v>1067</v>
      </c>
      <c r="J157" s="41" t="s">
        <v>864</v>
      </c>
      <c r="K157" s="41" t="s">
        <v>1067</v>
      </c>
      <c r="L157" s="44">
        <v>-27.60793258456</v>
      </c>
      <c r="M157" s="44">
        <v>153.19841663463001</v>
      </c>
      <c r="N157" s="107"/>
      <c r="O157" s="42" t="s">
        <v>44</v>
      </c>
      <c r="P157" s="42" t="s">
        <v>44</v>
      </c>
      <c r="Q157" s="55" t="s">
        <v>42</v>
      </c>
      <c r="R157" s="42" t="s">
        <v>44</v>
      </c>
      <c r="S157" s="42" t="s">
        <v>44</v>
      </c>
      <c r="T157" s="42" t="s">
        <v>44</v>
      </c>
      <c r="U157" s="42" t="s">
        <v>44</v>
      </c>
      <c r="V157" s="42" t="s">
        <v>43</v>
      </c>
      <c r="W157" s="42" t="s">
        <v>44</v>
      </c>
      <c r="X157" s="45" t="s">
        <v>44</v>
      </c>
      <c r="Y157" s="42" t="s">
        <v>44</v>
      </c>
      <c r="Z157" s="7"/>
      <c r="AA157" s="29" t="s">
        <v>44</v>
      </c>
      <c r="AB157" s="29" t="s">
        <v>44</v>
      </c>
      <c r="AC157" s="46" t="s">
        <v>1068</v>
      </c>
      <c r="AD157" s="47" t="s">
        <v>247</v>
      </c>
      <c r="AE157" s="9" t="str">
        <f t="shared" si="4"/>
        <v>Open in Google Maps</v>
      </c>
    </row>
    <row r="158" spans="1:31" s="141" customFormat="1" ht="66" x14ac:dyDescent="0.3">
      <c r="A158" s="1">
        <f t="shared" si="5"/>
        <v>155</v>
      </c>
      <c r="B158" s="2" t="s">
        <v>1069</v>
      </c>
      <c r="C158" s="3" t="s">
        <v>1070</v>
      </c>
      <c r="D158" s="3" t="s">
        <v>1071</v>
      </c>
      <c r="E158" s="3" t="s">
        <v>35</v>
      </c>
      <c r="F158" s="13" t="s">
        <v>36</v>
      </c>
      <c r="G158" s="4">
        <v>46304</v>
      </c>
      <c r="H158" s="2" t="s">
        <v>145</v>
      </c>
      <c r="I158" s="2" t="s">
        <v>1072</v>
      </c>
      <c r="J158" s="10" t="s">
        <v>1073</v>
      </c>
      <c r="K158" s="2" t="s">
        <v>1074</v>
      </c>
      <c r="L158" s="5">
        <v>-21.484273000000002</v>
      </c>
      <c r="M158" s="5">
        <v>149.220651</v>
      </c>
      <c r="N158" s="3"/>
      <c r="O158" s="3" t="s">
        <v>41</v>
      </c>
      <c r="P158" s="3"/>
      <c r="Q158" s="3" t="s">
        <v>42</v>
      </c>
      <c r="R158" s="3" t="s">
        <v>44</v>
      </c>
      <c r="S158" s="3"/>
      <c r="T158" s="3" t="s">
        <v>41</v>
      </c>
      <c r="U158" s="3" t="s">
        <v>41</v>
      </c>
      <c r="V158" s="3" t="s">
        <v>70</v>
      </c>
      <c r="W158" s="3" t="s">
        <v>44</v>
      </c>
      <c r="X158" s="6" t="s">
        <v>44</v>
      </c>
      <c r="Y158" s="3"/>
      <c r="Z158" s="7"/>
      <c r="AA158" s="7"/>
      <c r="AB158" s="7"/>
      <c r="AC158" s="8" t="s">
        <v>1075</v>
      </c>
      <c r="AD158" s="2" t="s">
        <v>209</v>
      </c>
      <c r="AE158" s="9" t="str">
        <f t="shared" si="4"/>
        <v>Open in Google Maps</v>
      </c>
    </row>
    <row r="159" spans="1:31" s="140" customFormat="1" ht="66" x14ac:dyDescent="0.3">
      <c r="A159" s="1">
        <f t="shared" si="5"/>
        <v>156</v>
      </c>
      <c r="B159" s="23" t="s">
        <v>1076</v>
      </c>
      <c r="C159" s="3" t="s">
        <v>1077</v>
      </c>
      <c r="D159" s="29" t="s">
        <v>1078</v>
      </c>
      <c r="E159" s="42" t="s">
        <v>35</v>
      </c>
      <c r="F159" s="55" t="s">
        <v>36</v>
      </c>
      <c r="G159" s="43">
        <v>46232</v>
      </c>
      <c r="H159" s="108" t="s">
        <v>550</v>
      </c>
      <c r="I159" s="2" t="s">
        <v>1079</v>
      </c>
      <c r="J159" s="90" t="s">
        <v>1080</v>
      </c>
      <c r="K159" s="75" t="s">
        <v>1081</v>
      </c>
      <c r="L159" s="5">
        <v>-24.649360000000001</v>
      </c>
      <c r="M159" s="5">
        <v>150.11726999999999</v>
      </c>
      <c r="N159" s="29"/>
      <c r="O159" s="29"/>
      <c r="P159" s="29"/>
      <c r="Q159" s="30" t="s">
        <v>42</v>
      </c>
      <c r="R159" s="29" t="s">
        <v>44</v>
      </c>
      <c r="S159" s="29" t="s">
        <v>44</v>
      </c>
      <c r="T159" s="29"/>
      <c r="U159" s="29"/>
      <c r="V159" s="30" t="s">
        <v>70</v>
      </c>
      <c r="W159" s="29" t="s">
        <v>44</v>
      </c>
      <c r="X159" s="31" t="s">
        <v>44</v>
      </c>
      <c r="Y159" s="29"/>
      <c r="Z159" s="29"/>
      <c r="AA159" s="29"/>
      <c r="AB159" s="29"/>
      <c r="AC159" s="74" t="s">
        <v>1082</v>
      </c>
      <c r="AD159" s="90" t="s">
        <v>63</v>
      </c>
      <c r="AE159" s="9" t="str">
        <f t="shared" si="4"/>
        <v>Open in Google Maps</v>
      </c>
    </row>
    <row r="160" spans="1:31" s="140" customFormat="1" ht="37.15" customHeight="1" x14ac:dyDescent="0.3">
      <c r="A160" s="1">
        <f t="shared" si="5"/>
        <v>157</v>
      </c>
      <c r="B160" s="2" t="s">
        <v>1083</v>
      </c>
      <c r="C160" s="3" t="s">
        <v>1084</v>
      </c>
      <c r="D160" s="3" t="s">
        <v>1085</v>
      </c>
      <c r="E160" s="3" t="s">
        <v>202</v>
      </c>
      <c r="F160" s="3" t="s">
        <v>36</v>
      </c>
      <c r="G160" s="4">
        <v>46056</v>
      </c>
      <c r="H160" s="2" t="s">
        <v>118</v>
      </c>
      <c r="I160" s="2" t="s">
        <v>1086</v>
      </c>
      <c r="J160" s="2" t="s">
        <v>560</v>
      </c>
      <c r="K160" s="2" t="s">
        <v>1087</v>
      </c>
      <c r="L160" s="5">
        <v>-28.65072</v>
      </c>
      <c r="M160" s="5">
        <v>150.46751230000001</v>
      </c>
      <c r="N160" s="3"/>
      <c r="O160" s="3" t="s">
        <v>41</v>
      </c>
      <c r="P160" s="3"/>
      <c r="Q160" s="3" t="s">
        <v>41</v>
      </c>
      <c r="R160" s="3"/>
      <c r="S160" s="3"/>
      <c r="T160" s="3" t="s">
        <v>41</v>
      </c>
      <c r="U160" s="3" t="s">
        <v>41</v>
      </c>
      <c r="V160" s="3">
        <v>3</v>
      </c>
      <c r="W160" s="3"/>
      <c r="X160" s="3"/>
      <c r="Y160" s="7"/>
      <c r="Z160" s="29" t="s">
        <v>44</v>
      </c>
      <c r="AA160" s="29"/>
      <c r="AB160" s="7"/>
      <c r="AC160" s="8" t="s">
        <v>1088</v>
      </c>
      <c r="AD160" s="2" t="s">
        <v>209</v>
      </c>
      <c r="AE160" s="9" t="str">
        <f t="shared" si="4"/>
        <v>Open in Google Maps</v>
      </c>
    </row>
    <row r="161" spans="1:31" s="140" customFormat="1" ht="82.5" x14ac:dyDescent="0.3">
      <c r="A161" s="1">
        <f t="shared" si="5"/>
        <v>158</v>
      </c>
      <c r="B161" s="2" t="s">
        <v>1089</v>
      </c>
      <c r="C161" s="3" t="s">
        <v>1090</v>
      </c>
      <c r="D161" s="3" t="s">
        <v>625</v>
      </c>
      <c r="E161" s="3" t="s">
        <v>35</v>
      </c>
      <c r="F161" s="3" t="s">
        <v>36</v>
      </c>
      <c r="G161" s="4">
        <v>46646</v>
      </c>
      <c r="H161" s="2" t="s">
        <v>145</v>
      </c>
      <c r="I161" s="2" t="s">
        <v>1091</v>
      </c>
      <c r="J161" s="2" t="s">
        <v>1092</v>
      </c>
      <c r="K161" s="2" t="s">
        <v>1093</v>
      </c>
      <c r="L161" s="5">
        <v>-21.271214679850001</v>
      </c>
      <c r="M161" s="5">
        <v>149.03059051728999</v>
      </c>
      <c r="N161" s="14"/>
      <c r="O161" s="3"/>
      <c r="P161" s="3"/>
      <c r="Q161" s="3" t="s">
        <v>42</v>
      </c>
      <c r="R161" s="3" t="s">
        <v>44</v>
      </c>
      <c r="S161" s="3" t="s">
        <v>41</v>
      </c>
      <c r="T161" s="3"/>
      <c r="U161" s="3"/>
      <c r="V161" s="3" t="s">
        <v>70</v>
      </c>
      <c r="W161" s="3"/>
      <c r="X161" s="6"/>
      <c r="Y161" s="7"/>
      <c r="Z161" s="3"/>
      <c r="AA161" s="3"/>
      <c r="AB161" s="3"/>
      <c r="AC161" s="11" t="s">
        <v>1094</v>
      </c>
      <c r="AD161" s="12" t="s">
        <v>247</v>
      </c>
      <c r="AE161" s="9" t="str">
        <f t="shared" si="4"/>
        <v>Open in Google Maps</v>
      </c>
    </row>
    <row r="162" spans="1:31" s="140" customFormat="1" ht="35.450000000000003" customHeight="1" x14ac:dyDescent="0.3">
      <c r="A162" s="1">
        <f t="shared" si="5"/>
        <v>159</v>
      </c>
      <c r="B162" s="23" t="s">
        <v>1095</v>
      </c>
      <c r="C162" s="3" t="s">
        <v>1096</v>
      </c>
      <c r="D162" s="30" t="s">
        <v>1097</v>
      </c>
      <c r="E162" s="3" t="s">
        <v>35</v>
      </c>
      <c r="F162" s="29" t="s">
        <v>88</v>
      </c>
      <c r="G162" s="4">
        <v>46472</v>
      </c>
      <c r="H162" s="108" t="s">
        <v>1098</v>
      </c>
      <c r="I162" s="2" t="s">
        <v>1099</v>
      </c>
      <c r="J162" s="90" t="s">
        <v>1100</v>
      </c>
      <c r="K162" s="90" t="s">
        <v>1101</v>
      </c>
      <c r="L162" s="5">
        <v>-28.259</v>
      </c>
      <c r="M162" s="5">
        <v>153.54900000000001</v>
      </c>
      <c r="N162" s="29"/>
      <c r="O162" s="29"/>
      <c r="P162" s="29"/>
      <c r="Q162" s="30"/>
      <c r="R162" s="29"/>
      <c r="S162" s="29" t="s">
        <v>44</v>
      </c>
      <c r="T162" s="29" t="s">
        <v>44</v>
      </c>
      <c r="U162" s="29"/>
      <c r="V162" s="29"/>
      <c r="W162" s="29"/>
      <c r="X162" s="31"/>
      <c r="Y162" s="29"/>
      <c r="Z162" s="29"/>
      <c r="AA162" s="29"/>
      <c r="AB162" s="29" t="s">
        <v>44</v>
      </c>
      <c r="AC162" s="74" t="s">
        <v>1102</v>
      </c>
      <c r="AD162" s="90" t="s">
        <v>55</v>
      </c>
      <c r="AE162" s="9" t="str">
        <f t="shared" si="4"/>
        <v>Open in Google Maps</v>
      </c>
    </row>
    <row r="163" spans="1:31" s="140" customFormat="1" ht="32.450000000000003" customHeight="1" x14ac:dyDescent="0.3">
      <c r="A163" s="1">
        <f t="shared" si="5"/>
        <v>160</v>
      </c>
      <c r="B163" s="15" t="s">
        <v>1103</v>
      </c>
      <c r="C163" s="16" t="s">
        <v>1104</v>
      </c>
      <c r="D163" s="16" t="s">
        <v>1105</v>
      </c>
      <c r="E163" s="16" t="s">
        <v>35</v>
      </c>
      <c r="F163" s="16" t="s">
        <v>36</v>
      </c>
      <c r="G163" s="17">
        <v>46556</v>
      </c>
      <c r="H163" s="15" t="s">
        <v>640</v>
      </c>
      <c r="I163" s="15" t="s">
        <v>1106</v>
      </c>
      <c r="J163" s="15" t="s">
        <v>642</v>
      </c>
      <c r="K163" s="15" t="s">
        <v>641</v>
      </c>
      <c r="L163" s="19">
        <v>-23.213999999999999</v>
      </c>
      <c r="M163" s="19">
        <v>150.77199999999999</v>
      </c>
      <c r="N163" s="16"/>
      <c r="O163" s="16"/>
      <c r="P163" s="16"/>
      <c r="Q163" s="16" t="s">
        <v>41</v>
      </c>
      <c r="R163" s="16"/>
      <c r="S163" s="16" t="s">
        <v>44</v>
      </c>
      <c r="T163" s="16" t="s">
        <v>44</v>
      </c>
      <c r="U163" s="16" t="s">
        <v>41</v>
      </c>
      <c r="V163" s="16" t="s">
        <v>149</v>
      </c>
      <c r="W163" s="16"/>
      <c r="X163" s="20"/>
      <c r="Y163" s="7"/>
      <c r="Z163" s="7"/>
      <c r="AA163" s="7"/>
      <c r="AB163" s="7"/>
      <c r="AC163" s="65" t="s">
        <v>1107</v>
      </c>
      <c r="AD163" s="15" t="s">
        <v>55</v>
      </c>
      <c r="AE163" s="9" t="str">
        <f t="shared" si="4"/>
        <v>Open in Google Maps</v>
      </c>
    </row>
    <row r="164" spans="1:31" s="140" customFormat="1" ht="132" x14ac:dyDescent="0.3">
      <c r="A164" s="1">
        <f t="shared" si="5"/>
        <v>161</v>
      </c>
      <c r="B164" s="15" t="s">
        <v>1108</v>
      </c>
      <c r="C164" s="16" t="s">
        <v>1109</v>
      </c>
      <c r="D164" s="16" t="s">
        <v>1110</v>
      </c>
      <c r="E164" s="16" t="s">
        <v>35</v>
      </c>
      <c r="F164" s="3" t="s">
        <v>117</v>
      </c>
      <c r="G164" s="17">
        <v>46296</v>
      </c>
      <c r="H164" s="15" t="s">
        <v>333</v>
      </c>
      <c r="I164" s="15" t="s">
        <v>1111</v>
      </c>
      <c r="J164" s="15" t="s">
        <v>1112</v>
      </c>
      <c r="K164" s="15" t="s">
        <v>1113</v>
      </c>
      <c r="L164" s="19">
        <v>25.011979</v>
      </c>
      <c r="M164" s="19">
        <v>152.01575199999999</v>
      </c>
      <c r="N164" s="16"/>
      <c r="O164" s="16"/>
      <c r="P164" s="16"/>
      <c r="Q164" s="16"/>
      <c r="R164" s="16"/>
      <c r="S164" s="16"/>
      <c r="T164" s="16"/>
      <c r="U164" s="16"/>
      <c r="V164" s="16" t="s">
        <v>1114</v>
      </c>
      <c r="W164" s="16"/>
      <c r="X164" s="20"/>
      <c r="Y164" s="7"/>
      <c r="Z164" s="7"/>
      <c r="AA164" s="7"/>
      <c r="AB164" s="7"/>
      <c r="AC164" s="65" t="s">
        <v>1115</v>
      </c>
      <c r="AD164" s="15" t="s">
        <v>247</v>
      </c>
      <c r="AE164" s="9" t="str">
        <f t="shared" si="4"/>
        <v>Open in Google Maps</v>
      </c>
    </row>
    <row r="165" spans="1:31" s="140" customFormat="1" ht="35.450000000000003" customHeight="1" x14ac:dyDescent="0.3">
      <c r="A165" s="1">
        <f t="shared" si="5"/>
        <v>162</v>
      </c>
      <c r="B165" s="15" t="s">
        <v>1116</v>
      </c>
      <c r="C165" s="16" t="s">
        <v>1117</v>
      </c>
      <c r="D165" s="16" t="s">
        <v>1118</v>
      </c>
      <c r="E165" s="16" t="s">
        <v>35</v>
      </c>
      <c r="F165" s="16" t="s">
        <v>303</v>
      </c>
      <c r="G165" s="17">
        <v>46347</v>
      </c>
      <c r="H165" s="15" t="s">
        <v>519</v>
      </c>
      <c r="I165" s="15" t="s">
        <v>1119</v>
      </c>
      <c r="J165" s="15" t="s">
        <v>1120</v>
      </c>
      <c r="K165" s="15" t="s">
        <v>1121</v>
      </c>
      <c r="L165" s="19">
        <v>-24.456073</v>
      </c>
      <c r="M165" s="109">
        <v>151.81135800000001</v>
      </c>
      <c r="N165" s="16"/>
      <c r="O165" s="16"/>
      <c r="P165" s="16"/>
      <c r="Q165" s="16"/>
      <c r="R165" s="16" t="s">
        <v>44</v>
      </c>
      <c r="S165" s="16" t="s">
        <v>41</v>
      </c>
      <c r="T165" s="16" t="s">
        <v>41</v>
      </c>
      <c r="U165" s="16" t="s">
        <v>41</v>
      </c>
      <c r="V165" s="16" t="s">
        <v>70</v>
      </c>
      <c r="W165" s="16"/>
      <c r="X165" s="20"/>
      <c r="Y165" s="7"/>
      <c r="Z165" s="7"/>
      <c r="AA165" s="7"/>
      <c r="AB165" s="7"/>
      <c r="AC165" s="21" t="s">
        <v>1122</v>
      </c>
      <c r="AD165" s="22" t="s">
        <v>63</v>
      </c>
      <c r="AE165" s="9" t="str">
        <f t="shared" si="4"/>
        <v>Open in Google Maps</v>
      </c>
    </row>
    <row r="166" spans="1:31" s="140" customFormat="1" ht="49.5" x14ac:dyDescent="0.3">
      <c r="A166" s="1">
        <f t="shared" si="5"/>
        <v>163</v>
      </c>
      <c r="B166" s="2" t="s">
        <v>1123</v>
      </c>
      <c r="C166" s="3" t="s">
        <v>1124</v>
      </c>
      <c r="D166" s="29" t="s">
        <v>1125</v>
      </c>
      <c r="E166" s="3" t="s">
        <v>35</v>
      </c>
      <c r="F166" s="3" t="s">
        <v>117</v>
      </c>
      <c r="G166" s="4">
        <v>46681</v>
      </c>
      <c r="H166" s="2" t="s">
        <v>975</v>
      </c>
      <c r="I166" s="2" t="s">
        <v>1126</v>
      </c>
      <c r="J166" s="2" t="s">
        <v>521</v>
      </c>
      <c r="K166" s="2" t="s">
        <v>522</v>
      </c>
      <c r="L166" s="5">
        <v>-22.939</v>
      </c>
      <c r="M166" s="5">
        <v>150.167</v>
      </c>
      <c r="N166" s="3"/>
      <c r="O166" s="3"/>
      <c r="P166" s="3"/>
      <c r="Q166" s="3"/>
      <c r="R166" s="3"/>
      <c r="S166" s="3"/>
      <c r="T166" s="3"/>
      <c r="U166" s="3"/>
      <c r="V166" s="30" t="s">
        <v>764</v>
      </c>
      <c r="W166" s="3"/>
      <c r="X166" s="6"/>
      <c r="Y166" s="7"/>
      <c r="Z166" s="7"/>
      <c r="AA166" s="7"/>
      <c r="AB166" s="7"/>
      <c r="AC166" s="11" t="s">
        <v>1127</v>
      </c>
      <c r="AD166" s="12" t="s">
        <v>247</v>
      </c>
      <c r="AE166" s="9" t="str">
        <f t="shared" si="4"/>
        <v>Open in Google Maps</v>
      </c>
    </row>
    <row r="167" spans="1:31" s="140" customFormat="1" ht="66" x14ac:dyDescent="0.3">
      <c r="A167" s="1">
        <f t="shared" si="5"/>
        <v>164</v>
      </c>
      <c r="B167" s="15" t="s">
        <v>1128</v>
      </c>
      <c r="C167" s="16" t="s">
        <v>1129</v>
      </c>
      <c r="D167" s="16" t="s">
        <v>1130</v>
      </c>
      <c r="E167" s="16" t="s">
        <v>202</v>
      </c>
      <c r="F167" s="16" t="s">
        <v>36</v>
      </c>
      <c r="G167" s="4">
        <v>46052</v>
      </c>
      <c r="H167" s="15" t="s">
        <v>558</v>
      </c>
      <c r="I167" s="15" t="s">
        <v>1131</v>
      </c>
      <c r="J167" s="15" t="s">
        <v>590</v>
      </c>
      <c r="K167" s="15" t="s">
        <v>1132</v>
      </c>
      <c r="L167" s="19">
        <v>-19.818899999999999</v>
      </c>
      <c r="M167" s="19">
        <v>140.13570000000001</v>
      </c>
      <c r="N167" s="16"/>
      <c r="O167" s="16"/>
      <c r="P167" s="16"/>
      <c r="Q167" s="16" t="s">
        <v>42</v>
      </c>
      <c r="R167" s="16" t="s">
        <v>44</v>
      </c>
      <c r="S167" s="16" t="s">
        <v>44</v>
      </c>
      <c r="T167" s="16"/>
      <c r="U167" s="16" t="s">
        <v>41</v>
      </c>
      <c r="V167" s="16" t="s">
        <v>70</v>
      </c>
      <c r="W167" s="16"/>
      <c r="X167" s="20"/>
      <c r="Y167" s="7"/>
      <c r="Z167" s="7"/>
      <c r="AA167" s="16" t="s">
        <v>44</v>
      </c>
      <c r="AB167" s="16" t="s">
        <v>44</v>
      </c>
      <c r="AC167" s="21" t="s">
        <v>592</v>
      </c>
      <c r="AD167" s="22" t="s">
        <v>247</v>
      </c>
      <c r="AE167" s="9" t="str">
        <f t="shared" si="4"/>
        <v>Open in Google Maps</v>
      </c>
    </row>
    <row r="168" spans="1:31" s="140" customFormat="1" ht="132" x14ac:dyDescent="0.3">
      <c r="A168" s="1">
        <f t="shared" si="5"/>
        <v>165</v>
      </c>
      <c r="B168" s="2" t="s">
        <v>1133</v>
      </c>
      <c r="C168" s="3" t="s">
        <v>1134</v>
      </c>
      <c r="D168" s="3" t="s">
        <v>1135</v>
      </c>
      <c r="E168" s="3" t="s">
        <v>35</v>
      </c>
      <c r="F168" s="4" t="s">
        <v>36</v>
      </c>
      <c r="G168" s="4">
        <v>46604</v>
      </c>
      <c r="H168" s="2" t="s">
        <v>1136</v>
      </c>
      <c r="I168" s="2" t="s">
        <v>1137</v>
      </c>
      <c r="J168" s="2" t="s">
        <v>1138</v>
      </c>
      <c r="K168" s="2" t="s">
        <v>1137</v>
      </c>
      <c r="L168" s="5">
        <v>-26.416</v>
      </c>
      <c r="M168" s="5">
        <v>146.465</v>
      </c>
      <c r="N168" s="3"/>
      <c r="O168" s="3" t="s">
        <v>41</v>
      </c>
      <c r="P168" s="3"/>
      <c r="Q168" s="3" t="s">
        <v>687</v>
      </c>
      <c r="R168" s="3" t="s">
        <v>41</v>
      </c>
      <c r="S168" s="3" t="s">
        <v>41</v>
      </c>
      <c r="T168" s="3" t="s">
        <v>41</v>
      </c>
      <c r="U168" s="3" t="s">
        <v>41</v>
      </c>
      <c r="V168" s="3" t="s">
        <v>1114</v>
      </c>
      <c r="W168" s="3" t="s">
        <v>44</v>
      </c>
      <c r="X168" s="6" t="s">
        <v>44</v>
      </c>
      <c r="Y168" s="7"/>
      <c r="Z168" s="7"/>
      <c r="AA168" s="7"/>
      <c r="AB168" s="7"/>
      <c r="AC168" s="8" t="s">
        <v>1139</v>
      </c>
      <c r="AD168" s="2" t="s">
        <v>140</v>
      </c>
      <c r="AE168" s="9" t="str">
        <f t="shared" si="4"/>
        <v>Open in Google Maps</v>
      </c>
    </row>
    <row r="169" spans="1:31" s="140" customFormat="1" ht="33" x14ac:dyDescent="0.3">
      <c r="A169" s="1">
        <f t="shared" si="5"/>
        <v>166</v>
      </c>
      <c r="B169" s="2" t="s">
        <v>1140</v>
      </c>
      <c r="C169" s="3" t="s">
        <v>1141</v>
      </c>
      <c r="D169" s="3" t="s">
        <v>1142</v>
      </c>
      <c r="E169" s="3" t="s">
        <v>35</v>
      </c>
      <c r="F169" s="3" t="s">
        <v>36</v>
      </c>
      <c r="G169" s="4">
        <v>46155</v>
      </c>
      <c r="H169" s="2" t="s">
        <v>37</v>
      </c>
      <c r="I169" s="2" t="s">
        <v>1143</v>
      </c>
      <c r="J169" s="10" t="s">
        <v>1144</v>
      </c>
      <c r="K169" s="2" t="s">
        <v>1143</v>
      </c>
      <c r="L169" s="5">
        <v>-20.196999999999999</v>
      </c>
      <c r="M169" s="5">
        <v>148.3724</v>
      </c>
      <c r="N169" s="3"/>
      <c r="O169" s="3" t="s">
        <v>41</v>
      </c>
      <c r="P169" s="3"/>
      <c r="Q169" s="3"/>
      <c r="R169" s="3"/>
      <c r="S169" s="3"/>
      <c r="T169" s="3" t="s">
        <v>41</v>
      </c>
      <c r="U169" s="3" t="s">
        <v>41</v>
      </c>
      <c r="V169" s="3" t="s">
        <v>70</v>
      </c>
      <c r="W169" s="3"/>
      <c r="X169" s="6"/>
      <c r="Y169" s="7"/>
      <c r="Z169" s="7"/>
      <c r="AA169" s="7"/>
      <c r="AB169" s="7"/>
      <c r="AC169" s="8" t="s">
        <v>1145</v>
      </c>
      <c r="AD169" s="2" t="s">
        <v>209</v>
      </c>
      <c r="AE169" s="9" t="str">
        <f t="shared" si="4"/>
        <v>Open in Google Maps</v>
      </c>
    </row>
    <row r="170" spans="1:31" s="140" customFormat="1" ht="33" x14ac:dyDescent="0.3">
      <c r="A170" s="1">
        <f t="shared" si="5"/>
        <v>167</v>
      </c>
      <c r="B170" s="2" t="s">
        <v>1146</v>
      </c>
      <c r="C170" s="3" t="s">
        <v>1147</v>
      </c>
      <c r="D170" s="3" t="s">
        <v>1148</v>
      </c>
      <c r="E170" s="3" t="s">
        <v>35</v>
      </c>
      <c r="F170" s="3" t="s">
        <v>36</v>
      </c>
      <c r="G170" s="4">
        <v>46568</v>
      </c>
      <c r="H170" s="2" t="s">
        <v>1149</v>
      </c>
      <c r="I170" s="2" t="s">
        <v>1150</v>
      </c>
      <c r="J170" s="2" t="s">
        <v>1151</v>
      </c>
      <c r="K170" s="2" t="s">
        <v>1152</v>
      </c>
      <c r="L170" s="3">
        <v>-23.253</v>
      </c>
      <c r="M170" s="3">
        <v>144.316</v>
      </c>
      <c r="N170" s="3"/>
      <c r="O170" s="3"/>
      <c r="P170" s="3"/>
      <c r="Q170" s="3"/>
      <c r="R170" s="3"/>
      <c r="S170" s="3" t="s">
        <v>44</v>
      </c>
      <c r="T170" s="3" t="s">
        <v>44</v>
      </c>
      <c r="U170" s="3"/>
      <c r="V170" s="3"/>
      <c r="W170" s="3"/>
      <c r="X170" s="6"/>
      <c r="Y170" s="7"/>
      <c r="Z170" s="7"/>
      <c r="AA170" s="7"/>
      <c r="AB170" s="29"/>
      <c r="AC170" s="11" t="s">
        <v>1153</v>
      </c>
      <c r="AD170" s="12" t="s">
        <v>55</v>
      </c>
      <c r="AE170" s="9" t="str">
        <f t="shared" si="4"/>
        <v>Open in Google Maps</v>
      </c>
    </row>
    <row r="171" spans="1:31" s="140" customFormat="1" ht="66" x14ac:dyDescent="0.3">
      <c r="A171" s="1">
        <f t="shared" si="5"/>
        <v>168</v>
      </c>
      <c r="B171" s="2" t="s">
        <v>1154</v>
      </c>
      <c r="C171" s="3" t="s">
        <v>1155</v>
      </c>
      <c r="D171" s="3" t="s">
        <v>1156</v>
      </c>
      <c r="E171" s="3" t="s">
        <v>35</v>
      </c>
      <c r="F171" s="3" t="s">
        <v>303</v>
      </c>
      <c r="G171" s="4">
        <v>46598</v>
      </c>
      <c r="H171" s="2" t="s">
        <v>683</v>
      </c>
      <c r="I171" s="2" t="s">
        <v>1157</v>
      </c>
      <c r="J171" s="2" t="s">
        <v>750</v>
      </c>
      <c r="K171" s="2" t="s">
        <v>807</v>
      </c>
      <c r="L171" s="5">
        <v>-22.471</v>
      </c>
      <c r="M171" s="5">
        <v>148.14944299999999</v>
      </c>
      <c r="N171" s="3"/>
      <c r="O171" s="3"/>
      <c r="P171" s="3"/>
      <c r="Q171" s="3" t="s">
        <v>42</v>
      </c>
      <c r="R171" s="3" t="s">
        <v>44</v>
      </c>
      <c r="S171" s="3"/>
      <c r="T171" s="3"/>
      <c r="U171" s="3"/>
      <c r="V171" s="3" t="s">
        <v>70</v>
      </c>
      <c r="W171" s="3" t="s">
        <v>44</v>
      </c>
      <c r="X171" s="6" t="s">
        <v>44</v>
      </c>
      <c r="Y171" s="7"/>
      <c r="Z171" s="7"/>
      <c r="AA171" s="40"/>
      <c r="AB171" s="7"/>
      <c r="AC171" s="11" t="s">
        <v>112</v>
      </c>
      <c r="AD171" s="12" t="s">
        <v>113</v>
      </c>
      <c r="AE171" s="9" t="str">
        <f t="shared" si="4"/>
        <v>Open in Google Maps</v>
      </c>
    </row>
    <row r="172" spans="1:31" s="141" customFormat="1" ht="33.6" customHeight="1" x14ac:dyDescent="0.3">
      <c r="A172" s="1">
        <f t="shared" si="5"/>
        <v>169</v>
      </c>
      <c r="B172" s="15" t="s">
        <v>1158</v>
      </c>
      <c r="C172" s="16" t="s">
        <v>1159</v>
      </c>
      <c r="D172" s="3" t="s">
        <v>1160</v>
      </c>
      <c r="E172" s="16" t="s">
        <v>35</v>
      </c>
      <c r="F172" s="16" t="s">
        <v>88</v>
      </c>
      <c r="G172" s="17">
        <v>46326</v>
      </c>
      <c r="H172" s="15" t="s">
        <v>82</v>
      </c>
      <c r="I172" s="41" t="s">
        <v>1161</v>
      </c>
      <c r="J172" s="41" t="s">
        <v>1162</v>
      </c>
      <c r="K172" s="41" t="s">
        <v>1161</v>
      </c>
      <c r="L172" s="19">
        <v>-27.427381</v>
      </c>
      <c r="M172" s="19">
        <v>153.133509</v>
      </c>
      <c r="N172" s="16"/>
      <c r="O172" s="16" t="s">
        <v>41</v>
      </c>
      <c r="P172" s="16"/>
      <c r="Q172" s="16" t="s">
        <v>41</v>
      </c>
      <c r="R172" s="16"/>
      <c r="S172" s="16" t="s">
        <v>44</v>
      </c>
      <c r="T172" s="16" t="s">
        <v>44</v>
      </c>
      <c r="U172" s="16" t="s">
        <v>41</v>
      </c>
      <c r="V172" s="16" t="s">
        <v>149</v>
      </c>
      <c r="W172" s="16"/>
      <c r="X172" s="20"/>
      <c r="Y172" s="7"/>
      <c r="Z172" s="7"/>
      <c r="AA172" s="7"/>
      <c r="AB172" s="7"/>
      <c r="AC172" s="21" t="s">
        <v>1163</v>
      </c>
      <c r="AD172" s="22" t="s">
        <v>55</v>
      </c>
      <c r="AE172" s="9" t="str">
        <f t="shared" si="4"/>
        <v>Open in Google Maps</v>
      </c>
    </row>
    <row r="173" spans="1:31" s="140" customFormat="1" ht="32.450000000000003" customHeight="1" x14ac:dyDescent="0.3">
      <c r="A173" s="1">
        <f t="shared" si="5"/>
        <v>170</v>
      </c>
      <c r="B173" s="15" t="s">
        <v>1164</v>
      </c>
      <c r="C173" s="16" t="s">
        <v>1165</v>
      </c>
      <c r="D173" s="16" t="s">
        <v>1166</v>
      </c>
      <c r="E173" s="16" t="s">
        <v>35</v>
      </c>
      <c r="F173" s="16" t="s">
        <v>36</v>
      </c>
      <c r="G173" s="17">
        <v>46648</v>
      </c>
      <c r="H173" s="15" t="s">
        <v>145</v>
      </c>
      <c r="I173" s="15" t="s">
        <v>1167</v>
      </c>
      <c r="J173" s="15" t="s">
        <v>1168</v>
      </c>
      <c r="K173" s="15" t="s">
        <v>1169</v>
      </c>
      <c r="L173" s="19">
        <v>-21.096454000000001</v>
      </c>
      <c r="M173" s="19">
        <v>149.22136699999999</v>
      </c>
      <c r="N173" s="16"/>
      <c r="O173" s="16" t="s">
        <v>41</v>
      </c>
      <c r="P173" s="16"/>
      <c r="Q173" s="16" t="s">
        <v>41</v>
      </c>
      <c r="R173" s="16"/>
      <c r="S173" s="16" t="s">
        <v>44</v>
      </c>
      <c r="T173" s="16" t="s">
        <v>44</v>
      </c>
      <c r="U173" s="16" t="s">
        <v>41</v>
      </c>
      <c r="V173" s="16" t="s">
        <v>149</v>
      </c>
      <c r="W173" s="16"/>
      <c r="X173" s="20"/>
      <c r="Y173" s="7"/>
      <c r="Z173" s="7"/>
      <c r="AA173" s="7"/>
      <c r="AB173" s="7"/>
      <c r="AC173" s="65" t="s">
        <v>1170</v>
      </c>
      <c r="AD173" s="41" t="s">
        <v>55</v>
      </c>
      <c r="AE173" s="9" t="str">
        <f t="shared" si="4"/>
        <v>Open in Google Maps</v>
      </c>
    </row>
    <row r="174" spans="1:31" s="140" customFormat="1" ht="33" x14ac:dyDescent="0.3">
      <c r="A174" s="1">
        <f t="shared" si="5"/>
        <v>171</v>
      </c>
      <c r="B174" s="2" t="s">
        <v>1171</v>
      </c>
      <c r="C174" s="3" t="s">
        <v>1172</v>
      </c>
      <c r="D174" s="3" t="s">
        <v>1173</v>
      </c>
      <c r="E174" s="3" t="s">
        <v>35</v>
      </c>
      <c r="F174" s="4" t="s">
        <v>303</v>
      </c>
      <c r="G174" s="4">
        <v>46136</v>
      </c>
      <c r="H174" s="32" t="s">
        <v>333</v>
      </c>
      <c r="I174" s="2" t="s">
        <v>1174</v>
      </c>
      <c r="J174" s="2" t="s">
        <v>1175</v>
      </c>
      <c r="K174" s="2" t="s">
        <v>1121</v>
      </c>
      <c r="L174" s="5">
        <v>-24.853148999999998</v>
      </c>
      <c r="M174" s="5">
        <v>151.88431700000001</v>
      </c>
      <c r="N174" s="3"/>
      <c r="O174" s="3"/>
      <c r="P174" s="3"/>
      <c r="Q174" s="3"/>
      <c r="R174" s="3"/>
      <c r="S174" s="3"/>
      <c r="T174" s="3"/>
      <c r="U174" s="3"/>
      <c r="V174" s="3" t="s">
        <v>1061</v>
      </c>
      <c r="W174" s="3"/>
      <c r="X174" s="6"/>
      <c r="Y174" s="7"/>
      <c r="Z174" s="7"/>
      <c r="AA174" s="7"/>
      <c r="AB174" s="7"/>
      <c r="AC174" s="11" t="s">
        <v>1176</v>
      </c>
      <c r="AD174" s="12" t="s">
        <v>63</v>
      </c>
      <c r="AE174" s="9" t="str">
        <f t="shared" si="4"/>
        <v>Open in Google Maps</v>
      </c>
    </row>
    <row r="175" spans="1:31" s="140" customFormat="1" ht="66" x14ac:dyDescent="0.3">
      <c r="A175" s="1">
        <f t="shared" si="5"/>
        <v>172</v>
      </c>
      <c r="B175" s="15" t="s">
        <v>1177</v>
      </c>
      <c r="C175" s="16" t="s">
        <v>1178</v>
      </c>
      <c r="D175" s="16" t="s">
        <v>1179</v>
      </c>
      <c r="E175" s="16" t="s">
        <v>35</v>
      </c>
      <c r="F175" s="16" t="s">
        <v>36</v>
      </c>
      <c r="G175" s="4">
        <v>46375</v>
      </c>
      <c r="H175" s="15" t="s">
        <v>387</v>
      </c>
      <c r="I175" s="15" t="s">
        <v>1180</v>
      </c>
      <c r="J175" s="15" t="s">
        <v>1181</v>
      </c>
      <c r="K175" s="15" t="s">
        <v>1182</v>
      </c>
      <c r="L175" s="19">
        <v>-17.076499999999999</v>
      </c>
      <c r="M175" s="19">
        <v>145.74959999999999</v>
      </c>
      <c r="N175" s="16"/>
      <c r="O175" s="16" t="s">
        <v>44</v>
      </c>
      <c r="P175" s="16"/>
      <c r="Q175" s="16" t="s">
        <v>42</v>
      </c>
      <c r="R175" s="16" t="s">
        <v>44</v>
      </c>
      <c r="S175" s="16" t="s">
        <v>44</v>
      </c>
      <c r="T175" s="16" t="s">
        <v>44</v>
      </c>
      <c r="U175" s="16"/>
      <c r="V175" s="16" t="s">
        <v>43</v>
      </c>
      <c r="W175" s="16"/>
      <c r="X175" s="20"/>
      <c r="Y175" s="7"/>
      <c r="Z175" s="7"/>
      <c r="AA175" s="7"/>
      <c r="AB175" s="7"/>
      <c r="AC175" s="21" t="s">
        <v>1183</v>
      </c>
      <c r="AD175" s="22" t="s">
        <v>247</v>
      </c>
      <c r="AE175" s="9" t="str">
        <f t="shared" si="4"/>
        <v>Open in Google Maps</v>
      </c>
    </row>
    <row r="176" spans="1:31" s="141" customFormat="1" ht="99" x14ac:dyDescent="0.3">
      <c r="A176" s="1">
        <f t="shared" si="5"/>
        <v>173</v>
      </c>
      <c r="B176" s="23" t="s">
        <v>1184</v>
      </c>
      <c r="C176" s="13" t="s">
        <v>1185</v>
      </c>
      <c r="D176" s="13" t="s">
        <v>1186</v>
      </c>
      <c r="E176" s="3" t="s">
        <v>35</v>
      </c>
      <c r="F176" s="3" t="s">
        <v>1187</v>
      </c>
      <c r="G176" s="4">
        <v>46709</v>
      </c>
      <c r="H176" s="2" t="s">
        <v>640</v>
      </c>
      <c r="I176" s="28" t="s">
        <v>1188</v>
      </c>
      <c r="J176" s="28" t="s">
        <v>1189</v>
      </c>
      <c r="K176" s="28" t="s">
        <v>1190</v>
      </c>
      <c r="L176" s="48">
        <v>-23.42</v>
      </c>
      <c r="M176" s="5">
        <v>150.40700000000001</v>
      </c>
      <c r="N176" s="13"/>
      <c r="O176" s="13"/>
      <c r="P176" s="13"/>
      <c r="Q176" s="13"/>
      <c r="R176" s="13"/>
      <c r="S176" s="13"/>
      <c r="T176" s="13"/>
      <c r="U176" s="13"/>
      <c r="V176" s="13" t="s">
        <v>122</v>
      </c>
      <c r="W176" s="13"/>
      <c r="X176" s="26"/>
      <c r="Y176" s="7"/>
      <c r="Z176" s="29"/>
      <c r="AA176" s="29"/>
      <c r="AB176" s="7"/>
      <c r="AC176" s="27" t="s">
        <v>1191</v>
      </c>
      <c r="AD176" s="28" t="s">
        <v>247</v>
      </c>
      <c r="AE176" s="9" t="str">
        <f t="shared" si="4"/>
        <v>Open in Google Maps</v>
      </c>
    </row>
    <row r="177" spans="1:31" s="140" customFormat="1" ht="33" x14ac:dyDescent="0.3">
      <c r="A177" s="1">
        <f t="shared" si="5"/>
        <v>174</v>
      </c>
      <c r="B177" s="2" t="s">
        <v>1192</v>
      </c>
      <c r="C177" s="3" t="s">
        <v>1193</v>
      </c>
      <c r="D177" s="3" t="s">
        <v>1194</v>
      </c>
      <c r="E177" s="3" t="s">
        <v>35</v>
      </c>
      <c r="F177" s="3" t="s">
        <v>36</v>
      </c>
      <c r="G177" s="4">
        <v>46544</v>
      </c>
      <c r="H177" s="2" t="s">
        <v>683</v>
      </c>
      <c r="I177" s="2" t="s">
        <v>1195</v>
      </c>
      <c r="J177" s="2" t="s">
        <v>1192</v>
      </c>
      <c r="K177" s="2" t="s">
        <v>1196</v>
      </c>
      <c r="L177" s="5">
        <v>-21.971</v>
      </c>
      <c r="M177" s="5">
        <v>148.04538199999999</v>
      </c>
      <c r="N177" s="14"/>
      <c r="O177" s="3" t="s">
        <v>41</v>
      </c>
      <c r="P177" s="3"/>
      <c r="Q177" s="3" t="s">
        <v>41</v>
      </c>
      <c r="R177" s="3"/>
      <c r="S177" s="3" t="s">
        <v>44</v>
      </c>
      <c r="T177" s="3" t="s">
        <v>44</v>
      </c>
      <c r="U177" s="3" t="s">
        <v>41</v>
      </c>
      <c r="V177" s="3" t="s">
        <v>149</v>
      </c>
      <c r="W177" s="3"/>
      <c r="X177" s="6"/>
      <c r="Y177" s="7"/>
      <c r="Z177" s="7"/>
      <c r="AA177" s="7"/>
      <c r="AB177" s="7"/>
      <c r="AC177" s="8" t="s">
        <v>993</v>
      </c>
      <c r="AD177" s="72" t="s">
        <v>55</v>
      </c>
      <c r="AE177" s="9" t="str">
        <f t="shared" si="4"/>
        <v>Open in Google Maps</v>
      </c>
    </row>
    <row r="178" spans="1:31" s="140" customFormat="1" ht="66" x14ac:dyDescent="0.3">
      <c r="A178" s="1">
        <f t="shared" si="5"/>
        <v>175</v>
      </c>
      <c r="B178" s="2" t="s">
        <v>1197</v>
      </c>
      <c r="C178" s="3" t="s">
        <v>1198</v>
      </c>
      <c r="D178" s="3" t="s">
        <v>1199</v>
      </c>
      <c r="E178" s="3" t="s">
        <v>35</v>
      </c>
      <c r="F178" s="3" t="s">
        <v>36</v>
      </c>
      <c r="G178" s="4">
        <v>46534</v>
      </c>
      <c r="H178" s="2" t="s">
        <v>145</v>
      </c>
      <c r="I178" s="2" t="s">
        <v>1200</v>
      </c>
      <c r="J178" s="10" t="s">
        <v>498</v>
      </c>
      <c r="K178" s="2" t="s">
        <v>499</v>
      </c>
      <c r="L178" s="5">
        <v>-21.1099</v>
      </c>
      <c r="M178" s="5">
        <v>149.03980000000001</v>
      </c>
      <c r="N178" s="3"/>
      <c r="O178" s="3" t="s">
        <v>44</v>
      </c>
      <c r="P178" s="3"/>
      <c r="Q178" s="3" t="s">
        <v>42</v>
      </c>
      <c r="R178" s="3" t="s">
        <v>44</v>
      </c>
      <c r="S178" s="39"/>
      <c r="T178" s="3" t="s">
        <v>44</v>
      </c>
      <c r="U178" s="39"/>
      <c r="V178" s="3" t="s">
        <v>70</v>
      </c>
      <c r="W178" s="3" t="s">
        <v>44</v>
      </c>
      <c r="X178" s="6" t="s">
        <v>44</v>
      </c>
      <c r="Y178" s="7"/>
      <c r="Z178" s="7"/>
      <c r="AA178" s="3"/>
      <c r="AB178" s="3"/>
      <c r="AC178" s="8" t="s">
        <v>1201</v>
      </c>
      <c r="AD178" s="2" t="s">
        <v>1202</v>
      </c>
      <c r="AE178" s="9" t="str">
        <f t="shared" si="4"/>
        <v>Open in Google Maps</v>
      </c>
    </row>
    <row r="179" spans="1:31" s="140" customFormat="1" ht="20.45" customHeight="1" x14ac:dyDescent="0.3">
      <c r="A179" s="1">
        <f t="shared" si="5"/>
        <v>176</v>
      </c>
      <c r="B179" s="15" t="s">
        <v>1203</v>
      </c>
      <c r="C179" s="16" t="s">
        <v>1204</v>
      </c>
      <c r="D179" s="16" t="s">
        <v>1205</v>
      </c>
      <c r="E179" s="16" t="s">
        <v>35</v>
      </c>
      <c r="F179" s="55" t="s">
        <v>36</v>
      </c>
      <c r="G179" s="17">
        <v>46547</v>
      </c>
      <c r="H179" s="15" t="s">
        <v>108</v>
      </c>
      <c r="I179" s="15" t="s">
        <v>1206</v>
      </c>
      <c r="J179" s="15" t="s">
        <v>295</v>
      </c>
      <c r="K179" s="15" t="s">
        <v>1207</v>
      </c>
      <c r="L179" s="19">
        <v>-26.755800000000001</v>
      </c>
      <c r="M179" s="19">
        <v>148.0325</v>
      </c>
      <c r="N179" s="16"/>
      <c r="O179" s="16"/>
      <c r="P179" s="16"/>
      <c r="Q179" s="16"/>
      <c r="R179" s="16"/>
      <c r="S179" s="16" t="s">
        <v>44</v>
      </c>
      <c r="T179" s="16" t="s">
        <v>44</v>
      </c>
      <c r="U179" s="16"/>
      <c r="V179" s="16"/>
      <c r="W179" s="16"/>
      <c r="X179" s="20"/>
      <c r="Y179" s="7"/>
      <c r="Z179" s="7"/>
      <c r="AA179" s="7"/>
      <c r="AB179" s="7"/>
      <c r="AC179" s="21" t="s">
        <v>1208</v>
      </c>
      <c r="AD179" s="41" t="s">
        <v>55</v>
      </c>
      <c r="AE179" s="9" t="str">
        <f t="shared" si="4"/>
        <v>Open in Google Maps</v>
      </c>
    </row>
    <row r="180" spans="1:31" s="140" customFormat="1" ht="38.450000000000003" customHeight="1" x14ac:dyDescent="0.3">
      <c r="A180" s="1">
        <f t="shared" si="5"/>
        <v>177</v>
      </c>
      <c r="B180" s="2" t="s">
        <v>1209</v>
      </c>
      <c r="C180" s="3" t="s">
        <v>1210</v>
      </c>
      <c r="D180" s="3" t="s">
        <v>1211</v>
      </c>
      <c r="E180" s="3" t="s">
        <v>35</v>
      </c>
      <c r="F180" s="3" t="s">
        <v>36</v>
      </c>
      <c r="G180" s="4">
        <v>46549</v>
      </c>
      <c r="H180" s="2" t="s">
        <v>387</v>
      </c>
      <c r="I180" s="12" t="s">
        <v>1212</v>
      </c>
      <c r="J180" s="12" t="s">
        <v>1213</v>
      </c>
      <c r="K180" s="12" t="s">
        <v>1214</v>
      </c>
      <c r="L180" s="3">
        <v>-16.917999999999999</v>
      </c>
      <c r="M180" s="3">
        <v>145.72900000000001</v>
      </c>
      <c r="N180" s="3"/>
      <c r="O180" s="3"/>
      <c r="P180" s="3"/>
      <c r="Q180" s="3"/>
      <c r="R180" s="3"/>
      <c r="S180" s="3"/>
      <c r="T180" s="3"/>
      <c r="U180" s="3"/>
      <c r="V180" s="3" t="s">
        <v>1061</v>
      </c>
      <c r="W180" s="3" t="s">
        <v>44</v>
      </c>
      <c r="X180" s="6" t="s">
        <v>44</v>
      </c>
      <c r="Y180" s="40"/>
      <c r="Z180" s="7"/>
      <c r="AA180" s="7"/>
      <c r="AB180" s="7"/>
      <c r="AC180" s="11" t="s">
        <v>1215</v>
      </c>
      <c r="AD180" s="12" t="s">
        <v>247</v>
      </c>
      <c r="AE180" s="9" t="str">
        <f t="shared" si="4"/>
        <v>Open in Google Maps</v>
      </c>
    </row>
    <row r="181" spans="1:31" s="140" customFormat="1" ht="66" x14ac:dyDescent="0.3">
      <c r="A181" s="1">
        <f t="shared" si="5"/>
        <v>178</v>
      </c>
      <c r="B181" s="23" t="s">
        <v>1216</v>
      </c>
      <c r="C181" s="13" t="s">
        <v>1217</v>
      </c>
      <c r="D181" s="13" t="s">
        <v>1218</v>
      </c>
      <c r="E181" s="13" t="s">
        <v>35</v>
      </c>
      <c r="F181" s="13" t="s">
        <v>36</v>
      </c>
      <c r="G181" s="24">
        <v>46290</v>
      </c>
      <c r="H181" s="28" t="s">
        <v>975</v>
      </c>
      <c r="I181" s="28" t="s">
        <v>1219</v>
      </c>
      <c r="J181" s="28" t="s">
        <v>1220</v>
      </c>
      <c r="K181" s="28" t="s">
        <v>1221</v>
      </c>
      <c r="L181" s="25">
        <v>-22.841000000000001</v>
      </c>
      <c r="M181" s="25">
        <v>149.80619999999999</v>
      </c>
      <c r="N181" s="13"/>
      <c r="O181" s="13"/>
      <c r="P181" s="13"/>
      <c r="Q181" s="13" t="s">
        <v>42</v>
      </c>
      <c r="R181" s="13" t="s">
        <v>44</v>
      </c>
      <c r="S181" s="13" t="s">
        <v>44</v>
      </c>
      <c r="T181" s="13" t="s">
        <v>44</v>
      </c>
      <c r="U181" s="13" t="s">
        <v>44</v>
      </c>
      <c r="V181" s="13" t="s">
        <v>70</v>
      </c>
      <c r="W181" s="13" t="s">
        <v>44</v>
      </c>
      <c r="X181" s="26" t="s">
        <v>44</v>
      </c>
      <c r="Y181" s="7"/>
      <c r="Z181" s="7"/>
      <c r="AA181" s="7"/>
      <c r="AB181" s="7"/>
      <c r="AC181" s="27" t="s">
        <v>377</v>
      </c>
      <c r="AD181" s="28" t="s">
        <v>247</v>
      </c>
      <c r="AE181" s="9" t="str">
        <f t="shared" si="4"/>
        <v>Open in Google Maps</v>
      </c>
    </row>
    <row r="182" spans="1:31" s="140" customFormat="1" ht="66" x14ac:dyDescent="0.3">
      <c r="A182" s="1">
        <f t="shared" si="5"/>
        <v>179</v>
      </c>
      <c r="B182" s="15" t="s">
        <v>1222</v>
      </c>
      <c r="C182" s="16" t="s">
        <v>1223</v>
      </c>
      <c r="D182" s="16" t="s">
        <v>1224</v>
      </c>
      <c r="E182" s="16" t="s">
        <v>35</v>
      </c>
      <c r="F182" s="16" t="s">
        <v>36</v>
      </c>
      <c r="G182" s="17">
        <v>46172</v>
      </c>
      <c r="H182" s="15" t="s">
        <v>640</v>
      </c>
      <c r="I182" s="15" t="s">
        <v>1225</v>
      </c>
      <c r="J182" s="15" t="s">
        <v>1226</v>
      </c>
      <c r="K182" s="15" t="s">
        <v>1225</v>
      </c>
      <c r="L182" s="19">
        <v>-23.678883119999998</v>
      </c>
      <c r="M182" s="19">
        <v>150.728478</v>
      </c>
      <c r="N182" s="16"/>
      <c r="O182" s="16" t="s">
        <v>41</v>
      </c>
      <c r="P182" s="16"/>
      <c r="Q182" s="16" t="s">
        <v>42</v>
      </c>
      <c r="R182" s="16" t="s">
        <v>44</v>
      </c>
      <c r="S182" s="16"/>
      <c r="T182" s="16" t="s">
        <v>41</v>
      </c>
      <c r="U182" s="16" t="s">
        <v>41</v>
      </c>
      <c r="V182" s="16" t="s">
        <v>70</v>
      </c>
      <c r="W182" s="16" t="s">
        <v>44</v>
      </c>
      <c r="X182" s="20" t="s">
        <v>44</v>
      </c>
      <c r="Y182" s="16"/>
      <c r="Z182" s="7"/>
      <c r="AA182" s="7"/>
      <c r="AB182" s="7"/>
      <c r="AC182" s="21" t="s">
        <v>1227</v>
      </c>
      <c r="AD182" s="22" t="s">
        <v>247</v>
      </c>
      <c r="AE182" s="9" t="str">
        <f t="shared" si="4"/>
        <v>Open in Google Maps</v>
      </c>
    </row>
    <row r="183" spans="1:31" s="140" customFormat="1" ht="66" x14ac:dyDescent="0.3">
      <c r="A183" s="1">
        <f t="shared" si="5"/>
        <v>180</v>
      </c>
      <c r="B183" s="2" t="s">
        <v>1228</v>
      </c>
      <c r="C183" s="3" t="s">
        <v>1229</v>
      </c>
      <c r="D183" s="3" t="s">
        <v>1230</v>
      </c>
      <c r="E183" s="3" t="s">
        <v>35</v>
      </c>
      <c r="F183" s="3" t="s">
        <v>36</v>
      </c>
      <c r="G183" s="4">
        <v>46232</v>
      </c>
      <c r="H183" s="2" t="s">
        <v>188</v>
      </c>
      <c r="I183" s="2" t="s">
        <v>1231</v>
      </c>
      <c r="J183" s="2" t="s">
        <v>1232</v>
      </c>
      <c r="K183" s="2" t="s">
        <v>1233</v>
      </c>
      <c r="L183" s="5">
        <v>-25.627680000000002</v>
      </c>
      <c r="M183" s="5">
        <v>152.57875999999999</v>
      </c>
      <c r="N183" s="3"/>
      <c r="O183" s="3" t="s">
        <v>44</v>
      </c>
      <c r="P183" s="3" t="s">
        <v>44</v>
      </c>
      <c r="Q183" s="3" t="s">
        <v>42</v>
      </c>
      <c r="R183" s="3" t="s">
        <v>44</v>
      </c>
      <c r="S183" s="3" t="s">
        <v>44</v>
      </c>
      <c r="T183" s="3" t="s">
        <v>44</v>
      </c>
      <c r="U183" s="3" t="s">
        <v>44</v>
      </c>
      <c r="V183" s="3" t="s">
        <v>43</v>
      </c>
      <c r="W183" s="3" t="s">
        <v>44</v>
      </c>
      <c r="X183" s="6" t="s">
        <v>44</v>
      </c>
      <c r="Y183" s="7"/>
      <c r="Z183" s="7"/>
      <c r="AA183" s="7"/>
      <c r="AB183" s="7"/>
      <c r="AC183" s="8" t="s">
        <v>1234</v>
      </c>
      <c r="AD183" s="2" t="s">
        <v>63</v>
      </c>
      <c r="AE183" s="9" t="str">
        <f t="shared" si="4"/>
        <v>Open in Google Maps</v>
      </c>
    </row>
    <row r="184" spans="1:31" s="140" customFormat="1" ht="66" x14ac:dyDescent="0.3">
      <c r="A184" s="1">
        <f t="shared" si="5"/>
        <v>181</v>
      </c>
      <c r="B184" s="2" t="s">
        <v>1235</v>
      </c>
      <c r="C184" s="3" t="s">
        <v>1236</v>
      </c>
      <c r="D184" s="3" t="s">
        <v>1237</v>
      </c>
      <c r="E184" s="3" t="s">
        <v>202</v>
      </c>
      <c r="F184" s="3" t="s">
        <v>36</v>
      </c>
      <c r="G184" s="4">
        <v>46084</v>
      </c>
      <c r="H184" s="2" t="s">
        <v>683</v>
      </c>
      <c r="I184" s="2" t="s">
        <v>1238</v>
      </c>
      <c r="J184" s="2" t="s">
        <v>1239</v>
      </c>
      <c r="K184" s="2" t="s">
        <v>1238</v>
      </c>
      <c r="L184" s="5">
        <v>-22.7317</v>
      </c>
      <c r="M184" s="5">
        <v>149.1661</v>
      </c>
      <c r="N184" s="3"/>
      <c r="O184" s="3"/>
      <c r="P184" s="3"/>
      <c r="Q184" s="3" t="s">
        <v>42</v>
      </c>
      <c r="R184" s="3" t="s">
        <v>44</v>
      </c>
      <c r="S184" s="3"/>
      <c r="T184" s="3"/>
      <c r="U184" s="3"/>
      <c r="V184" s="3" t="s">
        <v>70</v>
      </c>
      <c r="W184" s="3" t="s">
        <v>44</v>
      </c>
      <c r="X184" s="6" t="s">
        <v>44</v>
      </c>
      <c r="Y184" s="3" t="s">
        <v>44</v>
      </c>
      <c r="Z184" s="7"/>
      <c r="AA184" s="29" t="s">
        <v>44</v>
      </c>
      <c r="AB184" s="7"/>
      <c r="AC184" s="11" t="s">
        <v>1240</v>
      </c>
      <c r="AD184" s="12" t="s">
        <v>63</v>
      </c>
      <c r="AE184" s="9" t="str">
        <f t="shared" si="4"/>
        <v>Open in Google Maps</v>
      </c>
    </row>
    <row r="185" spans="1:31" s="140" customFormat="1" ht="33" x14ac:dyDescent="0.3">
      <c r="A185" s="1">
        <f t="shared" si="5"/>
        <v>182</v>
      </c>
      <c r="B185" s="2" t="s">
        <v>1241</v>
      </c>
      <c r="C185" s="3" t="s">
        <v>1242</v>
      </c>
      <c r="D185" s="3" t="s">
        <v>1243</v>
      </c>
      <c r="E185" s="3" t="s">
        <v>35</v>
      </c>
      <c r="F185" s="4" t="s">
        <v>36</v>
      </c>
      <c r="G185" s="4">
        <v>46069</v>
      </c>
      <c r="H185" s="2" t="s">
        <v>683</v>
      </c>
      <c r="I185" s="2" t="s">
        <v>1244</v>
      </c>
      <c r="J185" s="2" t="s">
        <v>744</v>
      </c>
      <c r="K185" s="2" t="s">
        <v>745</v>
      </c>
      <c r="L185" s="5">
        <v>-22.289000000000001</v>
      </c>
      <c r="M185" s="5">
        <v>147.297</v>
      </c>
      <c r="N185" s="3"/>
      <c r="O185" s="3" t="s">
        <v>41</v>
      </c>
      <c r="P185" s="3"/>
      <c r="Q185" s="13"/>
      <c r="R185" s="3"/>
      <c r="S185" s="3"/>
      <c r="T185" s="3" t="s">
        <v>41</v>
      </c>
      <c r="U185" s="3" t="s">
        <v>41</v>
      </c>
      <c r="V185" s="3" t="s">
        <v>70</v>
      </c>
      <c r="W185" s="3"/>
      <c r="X185" s="6"/>
      <c r="Y185" s="7"/>
      <c r="Z185" s="7"/>
      <c r="AA185" s="7"/>
      <c r="AB185" s="7"/>
      <c r="AC185" s="8" t="s">
        <v>1245</v>
      </c>
      <c r="AD185" s="2" t="s">
        <v>209</v>
      </c>
      <c r="AE185" s="9" t="str">
        <f t="shared" si="4"/>
        <v>Open in Google Maps</v>
      </c>
    </row>
    <row r="186" spans="1:31" s="140" customFormat="1" ht="34.15" customHeight="1" x14ac:dyDescent="0.3">
      <c r="A186" s="1">
        <f t="shared" si="5"/>
        <v>183</v>
      </c>
      <c r="B186" s="23" t="s">
        <v>1246</v>
      </c>
      <c r="C186" s="13" t="s">
        <v>1247</v>
      </c>
      <c r="D186" s="13" t="s">
        <v>1248</v>
      </c>
      <c r="E186" s="13" t="s">
        <v>35</v>
      </c>
      <c r="F186" s="13" t="s">
        <v>144</v>
      </c>
      <c r="G186" s="24">
        <v>46271</v>
      </c>
      <c r="H186" s="28" t="s">
        <v>418</v>
      </c>
      <c r="I186" s="28" t="s">
        <v>1249</v>
      </c>
      <c r="J186" s="2" t="s">
        <v>1250</v>
      </c>
      <c r="K186" s="2" t="s">
        <v>1251</v>
      </c>
      <c r="L186" s="5">
        <v>-19.623000000000001</v>
      </c>
      <c r="M186" s="19">
        <v>147.45079999999999</v>
      </c>
      <c r="N186" s="13"/>
      <c r="O186" s="13"/>
      <c r="P186" s="13"/>
      <c r="Q186" s="13"/>
      <c r="R186" s="13"/>
      <c r="S186" s="13" t="s">
        <v>44</v>
      </c>
      <c r="T186" s="13" t="s">
        <v>44</v>
      </c>
      <c r="U186" s="13"/>
      <c r="V186" s="13"/>
      <c r="W186" s="13"/>
      <c r="X186" s="26"/>
      <c r="Y186" s="7"/>
      <c r="Z186" s="7"/>
      <c r="AA186" s="7"/>
      <c r="AB186" s="7"/>
      <c r="AC186" s="27" t="s">
        <v>1252</v>
      </c>
      <c r="AD186" s="28" t="s">
        <v>55</v>
      </c>
      <c r="AE186" s="9" t="str">
        <f t="shared" si="4"/>
        <v>Open in Google Maps</v>
      </c>
    </row>
    <row r="187" spans="1:31" s="141" customFormat="1" ht="33.6" customHeight="1" x14ac:dyDescent="0.3">
      <c r="A187" s="1">
        <f t="shared" si="5"/>
        <v>184</v>
      </c>
      <c r="B187" s="2" t="s">
        <v>1253</v>
      </c>
      <c r="C187" s="3" t="s">
        <v>1254</v>
      </c>
      <c r="D187" s="3" t="s">
        <v>1255</v>
      </c>
      <c r="E187" s="3" t="s">
        <v>35</v>
      </c>
      <c r="F187" s="13" t="s">
        <v>36</v>
      </c>
      <c r="G187" s="4">
        <v>46304</v>
      </c>
      <c r="H187" s="2" t="s">
        <v>333</v>
      </c>
      <c r="I187" s="2" t="s">
        <v>1256</v>
      </c>
      <c r="J187" s="2" t="s">
        <v>1257</v>
      </c>
      <c r="K187" s="2" t="s">
        <v>1258</v>
      </c>
      <c r="L187" s="5">
        <v>-25.013406</v>
      </c>
      <c r="M187" s="5">
        <v>152.015556</v>
      </c>
      <c r="N187" s="3"/>
      <c r="O187" s="3"/>
      <c r="P187" s="3"/>
      <c r="Q187" s="3"/>
      <c r="R187" s="3"/>
      <c r="S187" s="3"/>
      <c r="T187" s="3"/>
      <c r="U187" s="3"/>
      <c r="V187" s="3" t="s">
        <v>70</v>
      </c>
      <c r="W187" s="3"/>
      <c r="X187" s="6" t="s">
        <v>44</v>
      </c>
      <c r="Y187" s="7"/>
      <c r="Z187" s="7"/>
      <c r="AA187" s="7"/>
      <c r="AB187" s="3"/>
      <c r="AC187" s="11" t="s">
        <v>1115</v>
      </c>
      <c r="AD187" s="12" t="s">
        <v>247</v>
      </c>
      <c r="AE187" s="9" t="str">
        <f t="shared" si="4"/>
        <v>Open in Google Maps</v>
      </c>
    </row>
    <row r="188" spans="1:31" s="140" customFormat="1" ht="21.6" customHeight="1" x14ac:dyDescent="0.3">
      <c r="A188" s="1">
        <f t="shared" si="5"/>
        <v>185</v>
      </c>
      <c r="B188" s="2" t="s">
        <v>1259</v>
      </c>
      <c r="C188" s="13" t="s">
        <v>1260</v>
      </c>
      <c r="D188" s="13" t="s">
        <v>1261</v>
      </c>
      <c r="E188" s="3" t="s">
        <v>35</v>
      </c>
      <c r="F188" s="13" t="s">
        <v>36</v>
      </c>
      <c r="G188" s="4">
        <v>46477</v>
      </c>
      <c r="H188" s="2" t="s">
        <v>272</v>
      </c>
      <c r="I188" s="23" t="s">
        <v>1262</v>
      </c>
      <c r="J188" s="2" t="s">
        <v>1263</v>
      </c>
      <c r="K188" s="2" t="s">
        <v>1264</v>
      </c>
      <c r="L188" s="5">
        <v>-27.544699999999999</v>
      </c>
      <c r="M188" s="5">
        <v>151.14869999999999</v>
      </c>
      <c r="N188" s="13"/>
      <c r="O188" s="13"/>
      <c r="P188" s="13"/>
      <c r="Q188" s="13"/>
      <c r="R188" s="13"/>
      <c r="S188" s="13" t="s">
        <v>44</v>
      </c>
      <c r="T188" s="13" t="s">
        <v>44</v>
      </c>
      <c r="U188" s="13"/>
      <c r="V188" s="13"/>
      <c r="W188" s="13"/>
      <c r="X188" s="26"/>
      <c r="Y188" s="7"/>
      <c r="Z188" s="7"/>
      <c r="AA188" s="7"/>
      <c r="AB188" s="13" t="s">
        <v>44</v>
      </c>
      <c r="AC188" s="11" t="s">
        <v>1265</v>
      </c>
      <c r="AD188" s="28" t="s">
        <v>55</v>
      </c>
      <c r="AE188" s="9" t="str">
        <f t="shared" si="4"/>
        <v>Open in Google Maps</v>
      </c>
    </row>
    <row r="189" spans="1:31" s="141" customFormat="1" ht="18.600000000000001" customHeight="1" x14ac:dyDescent="0.3">
      <c r="A189" s="1">
        <f t="shared" si="5"/>
        <v>186</v>
      </c>
      <c r="B189" s="2" t="s">
        <v>1266</v>
      </c>
      <c r="C189" s="3" t="s">
        <v>1267</v>
      </c>
      <c r="D189" s="3" t="s">
        <v>1268</v>
      </c>
      <c r="E189" s="3" t="s">
        <v>35</v>
      </c>
      <c r="F189" s="3" t="s">
        <v>36</v>
      </c>
      <c r="G189" s="4">
        <v>46227</v>
      </c>
      <c r="H189" s="2" t="s">
        <v>118</v>
      </c>
      <c r="I189" s="2" t="s">
        <v>1269</v>
      </c>
      <c r="J189" s="2" t="s">
        <v>1270</v>
      </c>
      <c r="K189" s="10" t="s">
        <v>1271</v>
      </c>
      <c r="L189" s="5">
        <v>-28.693318000000001</v>
      </c>
      <c r="M189" s="5">
        <v>150.94658799999999</v>
      </c>
      <c r="N189" s="3"/>
      <c r="O189" s="3" t="s">
        <v>41</v>
      </c>
      <c r="P189" s="3"/>
      <c r="Q189" s="3" t="s">
        <v>41</v>
      </c>
      <c r="R189" s="3" t="s">
        <v>41</v>
      </c>
      <c r="S189" s="3" t="s">
        <v>41</v>
      </c>
      <c r="T189" s="3" t="s">
        <v>41</v>
      </c>
      <c r="U189" s="3" t="s">
        <v>41</v>
      </c>
      <c r="V189" s="3">
        <v>3</v>
      </c>
      <c r="W189" s="3"/>
      <c r="X189" s="6"/>
      <c r="Y189" s="7"/>
      <c r="Z189" s="7"/>
      <c r="AA189" s="7"/>
      <c r="AB189" s="7"/>
      <c r="AC189" s="8" t="s">
        <v>1272</v>
      </c>
      <c r="AD189" s="28" t="s">
        <v>140</v>
      </c>
      <c r="AE189" s="9" t="str">
        <f t="shared" si="4"/>
        <v>Open in Google Maps</v>
      </c>
    </row>
    <row r="190" spans="1:31" s="140" customFormat="1" ht="33" x14ac:dyDescent="0.3">
      <c r="A190" s="1">
        <f t="shared" si="5"/>
        <v>187</v>
      </c>
      <c r="B190" s="2" t="s">
        <v>1273</v>
      </c>
      <c r="C190" s="3" t="s">
        <v>1274</v>
      </c>
      <c r="D190" s="3" t="s">
        <v>1275</v>
      </c>
      <c r="E190" s="3" t="s">
        <v>35</v>
      </c>
      <c r="F190" s="4" t="s">
        <v>36</v>
      </c>
      <c r="G190" s="4">
        <v>46134</v>
      </c>
      <c r="H190" s="2" t="s">
        <v>558</v>
      </c>
      <c r="I190" s="2" t="s">
        <v>1276</v>
      </c>
      <c r="J190" s="2" t="s">
        <v>590</v>
      </c>
      <c r="K190" s="2" t="s">
        <v>1277</v>
      </c>
      <c r="L190" s="5">
        <v>-20.568535000000001</v>
      </c>
      <c r="M190" s="5">
        <v>140.52328800000001</v>
      </c>
      <c r="N190" s="3"/>
      <c r="O190" s="3"/>
      <c r="P190" s="3"/>
      <c r="Q190" s="3"/>
      <c r="R190" s="3"/>
      <c r="S190" s="3"/>
      <c r="T190" s="3"/>
      <c r="U190" s="3"/>
      <c r="V190" s="3" t="s">
        <v>70</v>
      </c>
      <c r="W190" s="3"/>
      <c r="X190" s="6"/>
      <c r="Y190" s="7"/>
      <c r="Z190" s="7"/>
      <c r="AA190" s="7"/>
      <c r="AB190" s="7"/>
      <c r="AC190" s="11" t="s">
        <v>592</v>
      </c>
      <c r="AD190" s="12" t="s">
        <v>209</v>
      </c>
      <c r="AE190" s="9" t="str">
        <f t="shared" si="4"/>
        <v>Open in Google Maps</v>
      </c>
    </row>
    <row r="191" spans="1:31" s="140" customFormat="1" ht="49.5" x14ac:dyDescent="0.3">
      <c r="A191" s="1">
        <f t="shared" si="5"/>
        <v>188</v>
      </c>
      <c r="B191" s="2" t="s">
        <v>1278</v>
      </c>
      <c r="C191" s="3" t="s">
        <v>1279</v>
      </c>
      <c r="D191" s="3" t="s">
        <v>1280</v>
      </c>
      <c r="E191" s="3" t="s">
        <v>35</v>
      </c>
      <c r="F191" s="3" t="s">
        <v>36</v>
      </c>
      <c r="G191" s="4">
        <v>46134</v>
      </c>
      <c r="H191" s="2" t="s">
        <v>558</v>
      </c>
      <c r="I191" s="2" t="s">
        <v>1281</v>
      </c>
      <c r="J191" s="2" t="s">
        <v>590</v>
      </c>
      <c r="K191" s="2" t="s">
        <v>1277</v>
      </c>
      <c r="L191" s="5">
        <v>-20.584440000000001</v>
      </c>
      <c r="M191" s="5">
        <v>140.52986999999999</v>
      </c>
      <c r="N191" s="3"/>
      <c r="O191" s="3"/>
      <c r="P191" s="3"/>
      <c r="Q191" s="3" t="s">
        <v>687</v>
      </c>
      <c r="R191" s="3"/>
      <c r="S191" s="3" t="s">
        <v>44</v>
      </c>
      <c r="T191" s="3"/>
      <c r="U191" s="3"/>
      <c r="V191" s="3" t="s">
        <v>43</v>
      </c>
      <c r="W191" s="3" t="s">
        <v>44</v>
      </c>
      <c r="X191" s="3" t="s">
        <v>44</v>
      </c>
      <c r="Y191" s="7"/>
      <c r="Z191" s="7"/>
      <c r="AA191" s="7"/>
      <c r="AB191" s="7"/>
      <c r="AC191" s="11" t="s">
        <v>1282</v>
      </c>
      <c r="AD191" s="12" t="s">
        <v>209</v>
      </c>
      <c r="AE191" s="9" t="str">
        <f t="shared" si="4"/>
        <v>Open in Google Maps</v>
      </c>
    </row>
    <row r="192" spans="1:31" s="140" customFormat="1" ht="66" x14ac:dyDescent="0.3">
      <c r="A192" s="1">
        <f t="shared" si="5"/>
        <v>189</v>
      </c>
      <c r="B192" s="41" t="s">
        <v>1283</v>
      </c>
      <c r="C192" s="42" t="s">
        <v>1284</v>
      </c>
      <c r="D192" s="42" t="s">
        <v>1285</v>
      </c>
      <c r="E192" s="42" t="s">
        <v>35</v>
      </c>
      <c r="F192" s="55" t="s">
        <v>36</v>
      </c>
      <c r="G192" s="43">
        <v>46127</v>
      </c>
      <c r="H192" s="41" t="s">
        <v>154</v>
      </c>
      <c r="I192" s="41" t="s">
        <v>1286</v>
      </c>
      <c r="J192" s="41" t="s">
        <v>1287</v>
      </c>
      <c r="K192" s="41" t="s">
        <v>157</v>
      </c>
      <c r="L192" s="44">
        <v>-24.794076</v>
      </c>
      <c r="M192" s="44">
        <v>151.048237</v>
      </c>
      <c r="N192" s="42"/>
      <c r="O192" s="42" t="s">
        <v>41</v>
      </c>
      <c r="P192" s="42"/>
      <c r="Q192" s="42" t="s">
        <v>42</v>
      </c>
      <c r="R192" s="42" t="s">
        <v>44</v>
      </c>
      <c r="S192" s="42" t="s">
        <v>41</v>
      </c>
      <c r="T192" s="42"/>
      <c r="U192" s="42" t="s">
        <v>41</v>
      </c>
      <c r="V192" s="42" t="s">
        <v>70</v>
      </c>
      <c r="W192" s="42" t="s">
        <v>44</v>
      </c>
      <c r="X192" s="45" t="s">
        <v>44</v>
      </c>
      <c r="Y192" s="45"/>
      <c r="Z192" s="7"/>
      <c r="AA192" s="7"/>
      <c r="AB192" s="7"/>
      <c r="AC192" s="46" t="s">
        <v>112</v>
      </c>
      <c r="AD192" s="47" t="s">
        <v>113</v>
      </c>
      <c r="AE192" s="9" t="str">
        <f t="shared" si="4"/>
        <v>Open in Google Maps</v>
      </c>
    </row>
    <row r="193" spans="1:31" s="140" customFormat="1" ht="66" x14ac:dyDescent="0.3">
      <c r="A193" s="1">
        <f t="shared" si="5"/>
        <v>190</v>
      </c>
      <c r="B193" s="15" t="s">
        <v>1288</v>
      </c>
      <c r="C193" s="16" t="s">
        <v>1289</v>
      </c>
      <c r="D193" s="16" t="s">
        <v>1290</v>
      </c>
      <c r="E193" s="16" t="s">
        <v>35</v>
      </c>
      <c r="F193" s="16" t="s">
        <v>36</v>
      </c>
      <c r="G193" s="17">
        <v>46443</v>
      </c>
      <c r="H193" s="15" t="s">
        <v>683</v>
      </c>
      <c r="I193" s="15" t="s">
        <v>1291</v>
      </c>
      <c r="J193" s="15" t="s">
        <v>837</v>
      </c>
      <c r="K193" s="15" t="s">
        <v>1292</v>
      </c>
      <c r="L193" s="19">
        <v>-22.024699999999999</v>
      </c>
      <c r="M193" s="19">
        <v>148.2483</v>
      </c>
      <c r="N193" s="16"/>
      <c r="O193" s="16"/>
      <c r="P193" s="16"/>
      <c r="Q193" s="16" t="s">
        <v>42</v>
      </c>
      <c r="R193" s="16" t="s">
        <v>44</v>
      </c>
      <c r="S193" s="16"/>
      <c r="T193" s="16"/>
      <c r="U193" s="16" t="s">
        <v>41</v>
      </c>
      <c r="V193" s="16" t="s">
        <v>70</v>
      </c>
      <c r="W193" s="16" t="s">
        <v>44</v>
      </c>
      <c r="X193" s="20" t="s">
        <v>44</v>
      </c>
      <c r="Y193" s="7"/>
      <c r="Z193" s="7"/>
      <c r="AA193" s="16" t="s">
        <v>44</v>
      </c>
      <c r="AB193" s="7"/>
      <c r="AC193" s="46" t="s">
        <v>112</v>
      </c>
      <c r="AD193" s="15" t="s">
        <v>113</v>
      </c>
      <c r="AE193" s="9" t="str">
        <f t="shared" si="4"/>
        <v>Open in Google Maps</v>
      </c>
    </row>
    <row r="194" spans="1:31" s="140" customFormat="1" ht="33" x14ac:dyDescent="0.3">
      <c r="A194" s="1">
        <f t="shared" si="5"/>
        <v>191</v>
      </c>
      <c r="B194" s="2" t="s">
        <v>1293</v>
      </c>
      <c r="C194" s="3" t="s">
        <v>1294</v>
      </c>
      <c r="D194" s="3" t="s">
        <v>1295</v>
      </c>
      <c r="E194" s="3" t="s">
        <v>35</v>
      </c>
      <c r="F194" s="3" t="s">
        <v>36</v>
      </c>
      <c r="G194" s="4">
        <v>46675</v>
      </c>
      <c r="H194" s="2" t="s">
        <v>913</v>
      </c>
      <c r="I194" s="2" t="s">
        <v>1296</v>
      </c>
      <c r="J194" s="2" t="s">
        <v>1297</v>
      </c>
      <c r="K194" s="2" t="s">
        <v>1298</v>
      </c>
      <c r="L194" s="5">
        <v>-18.663402000000001</v>
      </c>
      <c r="M194" s="5">
        <v>146.00200000000001</v>
      </c>
      <c r="N194" s="3"/>
      <c r="O194" s="3"/>
      <c r="P194" s="3"/>
      <c r="Q194" s="3"/>
      <c r="R194" s="3"/>
      <c r="S194" s="3"/>
      <c r="T194" s="3"/>
      <c r="U194" s="3"/>
      <c r="V194" s="3" t="s">
        <v>70</v>
      </c>
      <c r="W194" s="3"/>
      <c r="X194" s="6"/>
      <c r="Y194" s="7"/>
      <c r="Z194" s="7"/>
      <c r="AA194" s="7"/>
      <c r="AB194" s="7"/>
      <c r="AC194" s="11" t="s">
        <v>1299</v>
      </c>
      <c r="AD194" s="12" t="s">
        <v>209</v>
      </c>
      <c r="AE194" s="9" t="str">
        <f t="shared" si="4"/>
        <v>Open in Google Maps</v>
      </c>
    </row>
    <row r="195" spans="1:31" s="141" customFormat="1" ht="49.5" x14ac:dyDescent="0.3">
      <c r="A195" s="1">
        <f t="shared" si="5"/>
        <v>192</v>
      </c>
      <c r="B195" s="15" t="s">
        <v>1300</v>
      </c>
      <c r="C195" s="16" t="s">
        <v>1301</v>
      </c>
      <c r="D195" s="16" t="s">
        <v>1302</v>
      </c>
      <c r="E195" s="16" t="s">
        <v>35</v>
      </c>
      <c r="F195" s="16" t="s">
        <v>36</v>
      </c>
      <c r="G195" s="17">
        <v>46717</v>
      </c>
      <c r="H195" s="15" t="s">
        <v>604</v>
      </c>
      <c r="I195" s="15" t="s">
        <v>1303</v>
      </c>
      <c r="J195" s="18" t="s">
        <v>1304</v>
      </c>
      <c r="K195" s="15" t="s">
        <v>1305</v>
      </c>
      <c r="L195" s="19">
        <v>-16.517316999999998</v>
      </c>
      <c r="M195" s="19">
        <v>145.379389</v>
      </c>
      <c r="N195" s="16"/>
      <c r="O195" s="16" t="s">
        <v>41</v>
      </c>
      <c r="P195" s="16"/>
      <c r="Q195" s="16" t="s">
        <v>41</v>
      </c>
      <c r="R195" s="16" t="s">
        <v>41</v>
      </c>
      <c r="S195" s="16" t="s">
        <v>41</v>
      </c>
      <c r="T195" s="16"/>
      <c r="U195" s="16" t="s">
        <v>41</v>
      </c>
      <c r="V195" s="16" t="s">
        <v>1306</v>
      </c>
      <c r="W195" s="16" t="s">
        <v>44</v>
      </c>
      <c r="X195" s="20" t="s">
        <v>44</v>
      </c>
      <c r="Y195" s="7"/>
      <c r="Z195" s="7"/>
      <c r="AA195" s="7"/>
      <c r="AB195" s="7"/>
      <c r="AC195" s="65" t="s">
        <v>372</v>
      </c>
      <c r="AD195" s="15" t="s">
        <v>247</v>
      </c>
      <c r="AE195" s="9" t="str">
        <f t="shared" si="4"/>
        <v>Open in Google Maps</v>
      </c>
    </row>
    <row r="196" spans="1:31" s="140" customFormat="1" ht="66" x14ac:dyDescent="0.3">
      <c r="A196" s="1">
        <f t="shared" si="5"/>
        <v>193</v>
      </c>
      <c r="B196" s="2" t="s">
        <v>1307</v>
      </c>
      <c r="C196" s="3" t="s">
        <v>1308</v>
      </c>
      <c r="D196" s="3" t="s">
        <v>1309</v>
      </c>
      <c r="E196" s="3" t="s">
        <v>202</v>
      </c>
      <c r="F196" s="3" t="s">
        <v>36</v>
      </c>
      <c r="G196" s="4">
        <v>46056</v>
      </c>
      <c r="H196" s="2" t="s">
        <v>227</v>
      </c>
      <c r="I196" s="2" t="s">
        <v>1310</v>
      </c>
      <c r="J196" s="2" t="s">
        <v>1311</v>
      </c>
      <c r="K196" s="2" t="s">
        <v>1310</v>
      </c>
      <c r="L196" s="5">
        <v>-16.523700000000002</v>
      </c>
      <c r="M196" s="5">
        <v>145.1232</v>
      </c>
      <c r="N196" s="14"/>
      <c r="O196" s="3" t="s">
        <v>41</v>
      </c>
      <c r="P196" s="3"/>
      <c r="Q196" s="3" t="s">
        <v>42</v>
      </c>
      <c r="R196" s="3" t="s">
        <v>44</v>
      </c>
      <c r="S196" s="3" t="s">
        <v>44</v>
      </c>
      <c r="T196" s="3"/>
      <c r="U196" s="3" t="s">
        <v>41</v>
      </c>
      <c r="V196" s="3" t="s">
        <v>43</v>
      </c>
      <c r="W196" s="3" t="s">
        <v>44</v>
      </c>
      <c r="X196" s="6" t="s">
        <v>44</v>
      </c>
      <c r="Y196" s="40"/>
      <c r="Z196" s="7"/>
      <c r="AA196" s="29" t="s">
        <v>44</v>
      </c>
      <c r="AB196" s="29" t="s">
        <v>44</v>
      </c>
      <c r="AC196" s="11" t="s">
        <v>1312</v>
      </c>
      <c r="AD196" s="12" t="s">
        <v>247</v>
      </c>
      <c r="AE196" s="9" t="str">
        <f t="shared" si="4"/>
        <v>Open in Google Maps</v>
      </c>
    </row>
    <row r="197" spans="1:31" s="140" customFormat="1" ht="35.450000000000003" customHeight="1" x14ac:dyDescent="0.3">
      <c r="A197" s="1">
        <f t="shared" si="5"/>
        <v>194</v>
      </c>
      <c r="B197" s="2" t="s">
        <v>1313</v>
      </c>
      <c r="C197" s="3" t="s">
        <v>1314</v>
      </c>
      <c r="D197" s="3" t="s">
        <v>1315</v>
      </c>
      <c r="E197" s="3" t="s">
        <v>35</v>
      </c>
      <c r="F197" s="3" t="s">
        <v>36</v>
      </c>
      <c r="G197" s="4">
        <v>46292</v>
      </c>
      <c r="H197" s="2" t="s">
        <v>304</v>
      </c>
      <c r="I197" s="110" t="s">
        <v>1316</v>
      </c>
      <c r="J197" s="2" t="s">
        <v>1317</v>
      </c>
      <c r="K197" s="2" t="s">
        <v>1316</v>
      </c>
      <c r="L197" s="5">
        <v>-28.076374999999999</v>
      </c>
      <c r="M197" s="5">
        <v>151.90393800000001</v>
      </c>
      <c r="N197" s="14"/>
      <c r="O197" s="3"/>
      <c r="P197" s="3"/>
      <c r="Q197" s="3"/>
      <c r="R197" s="3"/>
      <c r="S197" s="3" t="s">
        <v>44</v>
      </c>
      <c r="T197" s="3" t="s">
        <v>44</v>
      </c>
      <c r="U197" s="3"/>
      <c r="V197" s="3"/>
      <c r="W197" s="3"/>
      <c r="X197" s="6"/>
      <c r="Y197" s="3"/>
      <c r="Z197" s="3"/>
      <c r="AA197" s="3"/>
      <c r="AB197" s="3"/>
      <c r="AC197" s="8" t="s">
        <v>1318</v>
      </c>
      <c r="AD197" s="2" t="s">
        <v>55</v>
      </c>
      <c r="AE197" s="9" t="str">
        <f t="shared" ref="AE197:AE260" si="6">HYPERLINK("https://maps.google.com/?q="&amp;L197&amp;","&amp;M197,"Open in Google Maps")</f>
        <v>Open in Google Maps</v>
      </c>
    </row>
    <row r="198" spans="1:31" s="140" customFormat="1" ht="49.5" x14ac:dyDescent="0.3">
      <c r="A198" s="1">
        <f t="shared" ref="A198:A261" si="7">A197+1</f>
        <v>195</v>
      </c>
      <c r="B198" s="23" t="s">
        <v>1319</v>
      </c>
      <c r="C198" s="3" t="s">
        <v>1320</v>
      </c>
      <c r="D198" s="3" t="s">
        <v>1321</v>
      </c>
      <c r="E198" s="3" t="s">
        <v>35</v>
      </c>
      <c r="F198" s="3" t="s">
        <v>36</v>
      </c>
      <c r="G198" s="4">
        <v>46069</v>
      </c>
      <c r="H198" s="2" t="s">
        <v>181</v>
      </c>
      <c r="I198" s="2" t="s">
        <v>1322</v>
      </c>
      <c r="J198" s="2" t="s">
        <v>744</v>
      </c>
      <c r="K198" s="2" t="s">
        <v>745</v>
      </c>
      <c r="L198" s="5">
        <v>-24.095790000000001</v>
      </c>
      <c r="M198" s="5">
        <v>148.17410799999999</v>
      </c>
      <c r="N198" s="3"/>
      <c r="O198" s="3" t="s">
        <v>41</v>
      </c>
      <c r="P198" s="3"/>
      <c r="Q198" s="3"/>
      <c r="R198" s="3"/>
      <c r="S198" s="3" t="s">
        <v>41</v>
      </c>
      <c r="T198" s="3"/>
      <c r="U198" s="3" t="s">
        <v>41</v>
      </c>
      <c r="V198" s="3" t="s">
        <v>43</v>
      </c>
      <c r="W198" s="3"/>
      <c r="X198" s="6"/>
      <c r="Y198" s="7"/>
      <c r="Z198" s="7"/>
      <c r="AA198" s="7"/>
      <c r="AB198" s="7"/>
      <c r="AC198" s="8" t="s">
        <v>112</v>
      </c>
      <c r="AD198" s="2" t="s">
        <v>113</v>
      </c>
      <c r="AE198" s="9" t="str">
        <f t="shared" si="6"/>
        <v>Open in Google Maps</v>
      </c>
    </row>
    <row r="199" spans="1:31" s="140" customFormat="1" ht="66" x14ac:dyDescent="0.3">
      <c r="A199" s="1">
        <f t="shared" si="7"/>
        <v>196</v>
      </c>
      <c r="B199" s="2" t="s">
        <v>1323</v>
      </c>
      <c r="C199" s="3" t="s">
        <v>1324</v>
      </c>
      <c r="D199" s="3" t="s">
        <v>1325</v>
      </c>
      <c r="E199" s="3" t="s">
        <v>202</v>
      </c>
      <c r="F199" s="3" t="s">
        <v>88</v>
      </c>
      <c r="G199" s="4">
        <v>46062</v>
      </c>
      <c r="H199" s="2" t="s">
        <v>381</v>
      </c>
      <c r="I199" s="2" t="s">
        <v>1326</v>
      </c>
      <c r="J199" s="2" t="s">
        <v>1327</v>
      </c>
      <c r="K199" s="2" t="s">
        <v>1326</v>
      </c>
      <c r="L199" s="5">
        <v>-27.59331682258</v>
      </c>
      <c r="M199" s="5">
        <v>152.62306054689</v>
      </c>
      <c r="N199" s="14"/>
      <c r="O199" s="3" t="s">
        <v>44</v>
      </c>
      <c r="P199" s="3"/>
      <c r="Q199" s="3" t="s">
        <v>42</v>
      </c>
      <c r="R199" s="3" t="s">
        <v>44</v>
      </c>
      <c r="S199" s="3"/>
      <c r="T199" s="3"/>
      <c r="U199" s="3" t="s">
        <v>41</v>
      </c>
      <c r="V199" s="3" t="s">
        <v>43</v>
      </c>
      <c r="W199" s="3" t="s">
        <v>44</v>
      </c>
      <c r="X199" s="6" t="s">
        <v>44</v>
      </c>
      <c r="Y199" s="40"/>
      <c r="Z199" s="7"/>
      <c r="AA199" s="3" t="s">
        <v>44</v>
      </c>
      <c r="AB199" s="3"/>
      <c r="AC199" s="8" t="s">
        <v>112</v>
      </c>
      <c r="AD199" s="2" t="s">
        <v>113</v>
      </c>
      <c r="AE199" s="9" t="str">
        <f t="shared" si="6"/>
        <v>Open in Google Maps</v>
      </c>
    </row>
    <row r="200" spans="1:31" s="140" customFormat="1" ht="66" x14ac:dyDescent="0.3">
      <c r="A200" s="1">
        <f t="shared" si="7"/>
        <v>197</v>
      </c>
      <c r="B200" s="2" t="s">
        <v>1328</v>
      </c>
      <c r="C200" s="3" t="s">
        <v>1329</v>
      </c>
      <c r="D200" s="3" t="s">
        <v>1330</v>
      </c>
      <c r="E200" s="3" t="s">
        <v>35</v>
      </c>
      <c r="F200" s="13" t="s">
        <v>36</v>
      </c>
      <c r="G200" s="4">
        <v>46569</v>
      </c>
      <c r="H200" s="2" t="s">
        <v>1331</v>
      </c>
      <c r="I200" s="2" t="s">
        <v>1332</v>
      </c>
      <c r="J200" s="2" t="s">
        <v>1333</v>
      </c>
      <c r="K200" s="2" t="s">
        <v>1334</v>
      </c>
      <c r="L200" s="5">
        <v>-15.616400000000001</v>
      </c>
      <c r="M200" s="5">
        <v>145.22839999999999</v>
      </c>
      <c r="N200" s="3"/>
      <c r="O200" s="3" t="s">
        <v>41</v>
      </c>
      <c r="P200" s="3"/>
      <c r="Q200" s="3" t="s">
        <v>42</v>
      </c>
      <c r="R200" s="3"/>
      <c r="S200" s="3"/>
      <c r="T200" s="3"/>
      <c r="U200" s="3" t="s">
        <v>41</v>
      </c>
      <c r="V200" s="3" t="s">
        <v>70</v>
      </c>
      <c r="W200" s="3"/>
      <c r="X200" s="6"/>
      <c r="Y200" s="7"/>
      <c r="Z200" s="3"/>
      <c r="AA200" s="3"/>
      <c r="AB200" s="3"/>
      <c r="AC200" s="8" t="s">
        <v>372</v>
      </c>
      <c r="AD200" s="2" t="s">
        <v>247</v>
      </c>
      <c r="AE200" s="9" t="str">
        <f t="shared" si="6"/>
        <v>Open in Google Maps</v>
      </c>
    </row>
    <row r="201" spans="1:31" s="140" customFormat="1" ht="66" x14ac:dyDescent="0.3">
      <c r="A201" s="1">
        <f t="shared" si="7"/>
        <v>198</v>
      </c>
      <c r="B201" s="2" t="s">
        <v>1335</v>
      </c>
      <c r="C201" s="3" t="s">
        <v>1336</v>
      </c>
      <c r="D201" s="3" t="s">
        <v>1337</v>
      </c>
      <c r="E201" s="3" t="s">
        <v>35</v>
      </c>
      <c r="F201" s="3" t="s">
        <v>36</v>
      </c>
      <c r="G201" s="4">
        <v>46115</v>
      </c>
      <c r="H201" s="2" t="s">
        <v>145</v>
      </c>
      <c r="I201" s="2" t="s">
        <v>1338</v>
      </c>
      <c r="J201" s="10" t="s">
        <v>1339</v>
      </c>
      <c r="K201" s="2" t="s">
        <v>1340</v>
      </c>
      <c r="L201" s="5">
        <v>-21.115959700000001</v>
      </c>
      <c r="M201" s="5">
        <v>149.20899499999999</v>
      </c>
      <c r="N201" s="3"/>
      <c r="O201" s="3" t="s">
        <v>44</v>
      </c>
      <c r="P201" s="3" t="s">
        <v>44</v>
      </c>
      <c r="Q201" s="3" t="s">
        <v>42</v>
      </c>
      <c r="R201" s="3" t="s">
        <v>44</v>
      </c>
      <c r="S201" s="3" t="s">
        <v>44</v>
      </c>
      <c r="T201" s="3" t="s">
        <v>44</v>
      </c>
      <c r="U201" s="3"/>
      <c r="V201" s="3" t="s">
        <v>1341</v>
      </c>
      <c r="W201" s="3" t="s">
        <v>44</v>
      </c>
      <c r="X201" s="6" t="s">
        <v>44</v>
      </c>
      <c r="Y201" s="3" t="s">
        <v>44</v>
      </c>
      <c r="Z201" s="7"/>
      <c r="AA201" s="3" t="s">
        <v>44</v>
      </c>
      <c r="AB201" s="3" t="s">
        <v>44</v>
      </c>
      <c r="AC201" s="8" t="s">
        <v>1342</v>
      </c>
      <c r="AD201" s="2" t="s">
        <v>63</v>
      </c>
      <c r="AE201" s="9" t="str">
        <f t="shared" si="6"/>
        <v>Open in Google Maps</v>
      </c>
    </row>
    <row r="202" spans="1:31" s="140" customFormat="1" ht="33" x14ac:dyDescent="0.3">
      <c r="A202" s="1">
        <f t="shared" si="7"/>
        <v>199</v>
      </c>
      <c r="B202" s="2" t="s">
        <v>1343</v>
      </c>
      <c r="C202" s="3" t="s">
        <v>1344</v>
      </c>
      <c r="D202" s="3" t="s">
        <v>1345</v>
      </c>
      <c r="E202" s="3" t="s">
        <v>35</v>
      </c>
      <c r="F202" s="3" t="s">
        <v>36</v>
      </c>
      <c r="G202" s="4">
        <v>46401</v>
      </c>
      <c r="H202" s="2" t="s">
        <v>162</v>
      </c>
      <c r="I202" s="2" t="s">
        <v>1346</v>
      </c>
      <c r="J202" s="2" t="s">
        <v>164</v>
      </c>
      <c r="K202" s="2" t="s">
        <v>1346</v>
      </c>
      <c r="L202" s="5">
        <v>-20.805221</v>
      </c>
      <c r="M202" s="5">
        <v>144.30520000000001</v>
      </c>
      <c r="N202" s="3"/>
      <c r="O202" s="3" t="s">
        <v>41</v>
      </c>
      <c r="P202" s="3"/>
      <c r="Q202" s="3" t="s">
        <v>41</v>
      </c>
      <c r="R202" s="3"/>
      <c r="S202" s="3" t="s">
        <v>41</v>
      </c>
      <c r="T202" s="3" t="s">
        <v>41</v>
      </c>
      <c r="U202" s="3" t="s">
        <v>41</v>
      </c>
      <c r="V202" s="3" t="s">
        <v>70</v>
      </c>
      <c r="W202" s="3"/>
      <c r="X202" s="6"/>
      <c r="Y202" s="40"/>
      <c r="Z202" s="40"/>
      <c r="AA202" s="40"/>
      <c r="AB202" s="7"/>
      <c r="AC202" s="11" t="s">
        <v>255</v>
      </c>
      <c r="AD202" s="12" t="s">
        <v>113</v>
      </c>
      <c r="AE202" s="9" t="str">
        <f t="shared" si="6"/>
        <v>Open in Google Maps</v>
      </c>
    </row>
    <row r="203" spans="1:31" s="140" customFormat="1" ht="33" x14ac:dyDescent="0.3">
      <c r="A203" s="1">
        <f t="shared" si="7"/>
        <v>200</v>
      </c>
      <c r="B203" s="15" t="s">
        <v>1347</v>
      </c>
      <c r="C203" s="16" t="s">
        <v>1348</v>
      </c>
      <c r="D203" s="16" t="s">
        <v>1349</v>
      </c>
      <c r="E203" s="16" t="s">
        <v>35</v>
      </c>
      <c r="F203" s="16" t="s">
        <v>36</v>
      </c>
      <c r="G203" s="17">
        <v>46760</v>
      </c>
      <c r="H203" s="15" t="s">
        <v>145</v>
      </c>
      <c r="I203" s="15" t="s">
        <v>1350</v>
      </c>
      <c r="J203" s="15" t="s">
        <v>1351</v>
      </c>
      <c r="K203" s="15" t="s">
        <v>1352</v>
      </c>
      <c r="L203" s="19">
        <v>-21.381080000000001</v>
      </c>
      <c r="M203" s="19">
        <v>149.21318099999999</v>
      </c>
      <c r="N203" s="16"/>
      <c r="O203" s="16"/>
      <c r="P203" s="16"/>
      <c r="Q203" s="16"/>
      <c r="R203" s="16" t="s">
        <v>44</v>
      </c>
      <c r="S203" s="16" t="s">
        <v>44</v>
      </c>
      <c r="T203" s="16"/>
      <c r="U203" s="16"/>
      <c r="V203" s="16"/>
      <c r="W203" s="16"/>
      <c r="X203" s="20"/>
      <c r="Y203" s="7"/>
      <c r="Z203" s="7"/>
      <c r="AA203" s="7"/>
      <c r="AB203" s="7"/>
      <c r="AC203" s="21" t="s">
        <v>1353</v>
      </c>
      <c r="AD203" s="22" t="s">
        <v>209</v>
      </c>
      <c r="AE203" s="9" t="str">
        <f t="shared" si="6"/>
        <v>Open in Google Maps</v>
      </c>
    </row>
    <row r="204" spans="1:31" s="140" customFormat="1" ht="66" x14ac:dyDescent="0.3">
      <c r="A204" s="1">
        <f t="shared" si="7"/>
        <v>201</v>
      </c>
      <c r="B204" s="23" t="s">
        <v>1354</v>
      </c>
      <c r="C204" s="3" t="s">
        <v>1355</v>
      </c>
      <c r="D204" s="3" t="s">
        <v>1356</v>
      </c>
      <c r="E204" s="3" t="s">
        <v>35</v>
      </c>
      <c r="F204" s="3" t="s">
        <v>88</v>
      </c>
      <c r="G204" s="4">
        <v>46379</v>
      </c>
      <c r="H204" s="2" t="s">
        <v>82</v>
      </c>
      <c r="I204" s="2" t="s">
        <v>1357</v>
      </c>
      <c r="J204" s="2" t="s">
        <v>82</v>
      </c>
      <c r="K204" s="2" t="s">
        <v>1357</v>
      </c>
      <c r="L204" s="5">
        <v>-27.474829007779999</v>
      </c>
      <c r="M204" s="5">
        <v>152.97267070249001</v>
      </c>
      <c r="N204" s="3"/>
      <c r="O204" s="3" t="s">
        <v>44</v>
      </c>
      <c r="P204" s="3"/>
      <c r="Q204" s="3" t="s">
        <v>42</v>
      </c>
      <c r="R204" s="3"/>
      <c r="S204" s="3"/>
      <c r="T204" s="3" t="s">
        <v>44</v>
      </c>
      <c r="U204" s="3"/>
      <c r="V204" s="3"/>
      <c r="W204" s="3"/>
      <c r="X204" s="6"/>
      <c r="Y204" s="7"/>
      <c r="Z204" s="7"/>
      <c r="AA204" s="7"/>
      <c r="AB204" s="7"/>
      <c r="AC204" s="11" t="s">
        <v>1358</v>
      </c>
      <c r="AD204" s="12" t="s">
        <v>247</v>
      </c>
      <c r="AE204" s="9" t="str">
        <f t="shared" si="6"/>
        <v>Open in Google Maps</v>
      </c>
    </row>
    <row r="205" spans="1:31" s="140" customFormat="1" ht="33" x14ac:dyDescent="0.3">
      <c r="A205" s="1">
        <f t="shared" si="7"/>
        <v>202</v>
      </c>
      <c r="B205" s="15" t="s">
        <v>1359</v>
      </c>
      <c r="C205" s="16" t="s">
        <v>1360</v>
      </c>
      <c r="D205" s="16" t="s">
        <v>1361</v>
      </c>
      <c r="E205" s="16" t="s">
        <v>35</v>
      </c>
      <c r="F205" s="16" t="s">
        <v>36</v>
      </c>
      <c r="G205" s="17">
        <v>46170</v>
      </c>
      <c r="H205" s="15" t="s">
        <v>418</v>
      </c>
      <c r="I205" s="15" t="s">
        <v>1362</v>
      </c>
      <c r="J205" s="15" t="s">
        <v>1363</v>
      </c>
      <c r="K205" s="15" t="s">
        <v>1364</v>
      </c>
      <c r="L205" s="19">
        <v>-19.734999999999999</v>
      </c>
      <c r="M205" s="19">
        <v>147.506</v>
      </c>
      <c r="N205" s="16"/>
      <c r="O205" s="16"/>
      <c r="P205" s="16"/>
      <c r="Q205" s="16"/>
      <c r="R205" s="16"/>
      <c r="S205" s="16"/>
      <c r="T205" s="16"/>
      <c r="U205" s="16"/>
      <c r="V205" s="16" t="s">
        <v>70</v>
      </c>
      <c r="W205" s="16" t="s">
        <v>44</v>
      </c>
      <c r="X205" s="20" t="s">
        <v>44</v>
      </c>
      <c r="Y205" s="89"/>
      <c r="Z205" s="89"/>
      <c r="AA205" s="89"/>
      <c r="AB205" s="89"/>
      <c r="AC205" s="21" t="s">
        <v>1365</v>
      </c>
      <c r="AD205" s="22" t="s">
        <v>209</v>
      </c>
      <c r="AE205" s="9" t="str">
        <f t="shared" si="6"/>
        <v>Open in Google Maps</v>
      </c>
    </row>
    <row r="206" spans="1:31" s="140" customFormat="1" ht="35.450000000000003" customHeight="1" x14ac:dyDescent="0.3">
      <c r="A206" s="1">
        <f t="shared" si="7"/>
        <v>203</v>
      </c>
      <c r="B206" s="2" t="s">
        <v>1366</v>
      </c>
      <c r="C206" s="3" t="s">
        <v>1367</v>
      </c>
      <c r="D206" s="3" t="s">
        <v>1368</v>
      </c>
      <c r="E206" s="3" t="s">
        <v>35</v>
      </c>
      <c r="F206" s="3" t="s">
        <v>476</v>
      </c>
      <c r="G206" s="4">
        <v>46698</v>
      </c>
      <c r="H206" s="15" t="s">
        <v>418</v>
      </c>
      <c r="I206" s="2" t="s">
        <v>1369</v>
      </c>
      <c r="J206" s="2" t="s">
        <v>1370</v>
      </c>
      <c r="K206" s="2" t="s">
        <v>1371</v>
      </c>
      <c r="L206" s="5">
        <v>-19.656437</v>
      </c>
      <c r="M206" s="5">
        <v>147.30771100000001</v>
      </c>
      <c r="N206" s="14"/>
      <c r="O206" s="3"/>
      <c r="P206" s="3"/>
      <c r="Q206" s="3"/>
      <c r="R206" s="3"/>
      <c r="S206" s="3"/>
      <c r="T206" s="3"/>
      <c r="U206" s="3"/>
      <c r="V206" s="3"/>
      <c r="W206" s="3"/>
      <c r="X206" s="6"/>
      <c r="Y206" s="7"/>
      <c r="Z206" s="16" t="s">
        <v>44</v>
      </c>
      <c r="AA206" s="16"/>
      <c r="AB206" s="7"/>
      <c r="AC206" s="8" t="s">
        <v>1372</v>
      </c>
      <c r="AD206" s="2" t="s">
        <v>177</v>
      </c>
      <c r="AE206" s="9" t="str">
        <f t="shared" si="6"/>
        <v>Open in Google Maps</v>
      </c>
    </row>
    <row r="207" spans="1:31" s="141" customFormat="1" ht="34.15" customHeight="1" x14ac:dyDescent="0.3">
      <c r="A207" s="1">
        <f t="shared" si="7"/>
        <v>204</v>
      </c>
      <c r="B207" s="2" t="s">
        <v>1373</v>
      </c>
      <c r="C207" s="3" t="s">
        <v>1374</v>
      </c>
      <c r="D207" s="3" t="s">
        <v>1375</v>
      </c>
      <c r="E207" s="3" t="s">
        <v>35</v>
      </c>
      <c r="F207" s="3" t="s">
        <v>476</v>
      </c>
      <c r="G207" s="4">
        <v>46698</v>
      </c>
      <c r="H207" s="15" t="s">
        <v>418</v>
      </c>
      <c r="I207" s="2" t="s">
        <v>1376</v>
      </c>
      <c r="J207" s="2" t="s">
        <v>1370</v>
      </c>
      <c r="K207" s="2" t="s">
        <v>1371</v>
      </c>
      <c r="L207" s="5">
        <v>-19.655951999999999</v>
      </c>
      <c r="M207" s="5">
        <v>147.31226799999999</v>
      </c>
      <c r="N207" s="14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7"/>
      <c r="Z207" s="16" t="s">
        <v>44</v>
      </c>
      <c r="AA207" s="16"/>
      <c r="AB207" s="7"/>
      <c r="AC207" s="8" t="s">
        <v>1377</v>
      </c>
      <c r="AD207" s="2" t="s">
        <v>177</v>
      </c>
      <c r="AE207" s="9" t="str">
        <f t="shared" si="6"/>
        <v>Open in Google Maps</v>
      </c>
    </row>
    <row r="208" spans="1:31" s="140" customFormat="1" ht="33" x14ac:dyDescent="0.3">
      <c r="A208" s="1">
        <f t="shared" si="7"/>
        <v>205</v>
      </c>
      <c r="B208" s="23" t="s">
        <v>1378</v>
      </c>
      <c r="C208" s="13" t="s">
        <v>1379</v>
      </c>
      <c r="D208" s="13" t="s">
        <v>1380</v>
      </c>
      <c r="E208" s="13" t="s">
        <v>35</v>
      </c>
      <c r="F208" s="13" t="s">
        <v>36</v>
      </c>
      <c r="G208" s="24">
        <v>46520</v>
      </c>
      <c r="H208" s="23" t="s">
        <v>181</v>
      </c>
      <c r="I208" s="23" t="s">
        <v>1381</v>
      </c>
      <c r="J208" s="23" t="s">
        <v>181</v>
      </c>
      <c r="K208" s="23" t="s">
        <v>1382</v>
      </c>
      <c r="L208" s="73">
        <v>-24.711385</v>
      </c>
      <c r="M208" s="73">
        <v>149.38383899999999</v>
      </c>
      <c r="N208" s="13"/>
      <c r="O208" s="13"/>
      <c r="P208" s="13"/>
      <c r="Q208" s="13"/>
      <c r="R208" s="13"/>
      <c r="S208" s="13"/>
      <c r="T208" s="13"/>
      <c r="U208" s="13"/>
      <c r="V208" s="13" t="s">
        <v>70</v>
      </c>
      <c r="W208" s="13"/>
      <c r="X208" s="26"/>
      <c r="Y208" s="13"/>
      <c r="Z208" s="7"/>
      <c r="AA208" s="7"/>
      <c r="AB208" s="7"/>
      <c r="AC208" s="27" t="s">
        <v>255</v>
      </c>
      <c r="AD208" s="28" t="s">
        <v>113</v>
      </c>
      <c r="AE208" s="9" t="str">
        <f t="shared" si="6"/>
        <v>Open in Google Maps</v>
      </c>
    </row>
    <row r="209" spans="1:31" s="140" customFormat="1" ht="21.6" customHeight="1" x14ac:dyDescent="0.3">
      <c r="A209" s="1">
        <f t="shared" si="7"/>
        <v>206</v>
      </c>
      <c r="B209" s="2" t="s">
        <v>1383</v>
      </c>
      <c r="C209" s="3" t="s">
        <v>1384</v>
      </c>
      <c r="D209" s="3" t="s">
        <v>1385</v>
      </c>
      <c r="E209" s="3" t="s">
        <v>35</v>
      </c>
      <c r="F209" s="3" t="s">
        <v>36</v>
      </c>
      <c r="G209" s="4">
        <v>46667</v>
      </c>
      <c r="H209" s="2" t="s">
        <v>227</v>
      </c>
      <c r="I209" s="2" t="s">
        <v>1386</v>
      </c>
      <c r="J209" s="2" t="s">
        <v>737</v>
      </c>
      <c r="K209" s="2" t="s">
        <v>738</v>
      </c>
      <c r="L209" s="5">
        <v>-17.08896</v>
      </c>
      <c r="M209" s="5">
        <v>145.36815000000001</v>
      </c>
      <c r="N209" s="3"/>
      <c r="O209" s="3"/>
      <c r="P209" s="3"/>
      <c r="Q209" s="3"/>
      <c r="R209" s="3"/>
      <c r="S209" s="3" t="s">
        <v>44</v>
      </c>
      <c r="T209" s="3" t="s">
        <v>44</v>
      </c>
      <c r="U209" s="3"/>
      <c r="V209" s="3"/>
      <c r="W209" s="3"/>
      <c r="X209" s="6"/>
      <c r="Y209" s="7"/>
      <c r="Z209" s="3"/>
      <c r="AA209" s="7"/>
      <c r="AB209" s="7"/>
      <c r="AC209" s="11" t="s">
        <v>1387</v>
      </c>
      <c r="AD209" s="12" t="s">
        <v>55</v>
      </c>
      <c r="AE209" s="9" t="str">
        <f t="shared" si="6"/>
        <v>Open in Google Maps</v>
      </c>
    </row>
    <row r="210" spans="1:31" s="140" customFormat="1" ht="49.5" x14ac:dyDescent="0.3">
      <c r="A210" s="1">
        <f t="shared" si="7"/>
        <v>207</v>
      </c>
      <c r="B210" s="72" t="s">
        <v>1388</v>
      </c>
      <c r="C210" s="30" t="s">
        <v>1389</v>
      </c>
      <c r="D210" s="30" t="s">
        <v>1390</v>
      </c>
      <c r="E210" s="30" t="s">
        <v>35</v>
      </c>
      <c r="F210" s="3" t="s">
        <v>88</v>
      </c>
      <c r="G210" s="67">
        <v>46718</v>
      </c>
      <c r="H210" s="72" t="s">
        <v>280</v>
      </c>
      <c r="I210" s="72" t="s">
        <v>1391</v>
      </c>
      <c r="J210" s="72" t="s">
        <v>770</v>
      </c>
      <c r="K210" s="72" t="s">
        <v>1392</v>
      </c>
      <c r="L210" s="73">
        <v>-27.956374346859999</v>
      </c>
      <c r="M210" s="73">
        <v>153.32017321571001</v>
      </c>
      <c r="N210" s="30"/>
      <c r="O210" s="30" t="s">
        <v>44</v>
      </c>
      <c r="P210" s="30"/>
      <c r="Q210" s="13"/>
      <c r="R210" s="30" t="s">
        <v>44</v>
      </c>
      <c r="S210" s="30" t="s">
        <v>44</v>
      </c>
      <c r="T210" s="30" t="s">
        <v>44</v>
      </c>
      <c r="U210" s="30" t="s">
        <v>41</v>
      </c>
      <c r="V210" s="30" t="s">
        <v>43</v>
      </c>
      <c r="W210" s="30" t="s">
        <v>44</v>
      </c>
      <c r="X210" s="82" t="s">
        <v>44</v>
      </c>
      <c r="Y210" s="30" t="s">
        <v>44</v>
      </c>
      <c r="Z210" s="30"/>
      <c r="AA210" s="30" t="s">
        <v>44</v>
      </c>
      <c r="AB210" s="30" t="s">
        <v>44</v>
      </c>
      <c r="AC210" s="83" t="s">
        <v>372</v>
      </c>
      <c r="AD210" s="72" t="s">
        <v>247</v>
      </c>
      <c r="AE210" s="9" t="str">
        <f t="shared" si="6"/>
        <v>Open in Google Maps</v>
      </c>
    </row>
    <row r="211" spans="1:31" s="140" customFormat="1" ht="35.450000000000003" customHeight="1" x14ac:dyDescent="0.3">
      <c r="A211" s="1">
        <f t="shared" si="7"/>
        <v>208</v>
      </c>
      <c r="B211" s="2" t="s">
        <v>1393</v>
      </c>
      <c r="C211" s="3" t="s">
        <v>1394</v>
      </c>
      <c r="D211" s="3" t="s">
        <v>1395</v>
      </c>
      <c r="E211" s="3" t="s">
        <v>35</v>
      </c>
      <c r="F211" s="3" t="s">
        <v>36</v>
      </c>
      <c r="G211" s="4">
        <v>46487</v>
      </c>
      <c r="H211" s="2" t="s">
        <v>128</v>
      </c>
      <c r="I211" s="2" t="s">
        <v>1396</v>
      </c>
      <c r="J211" s="2" t="s">
        <v>1397</v>
      </c>
      <c r="K211" s="2" t="s">
        <v>1396</v>
      </c>
      <c r="L211" s="5">
        <v>-27.532360000000001</v>
      </c>
      <c r="M211" s="5">
        <v>152.13200000000001</v>
      </c>
      <c r="N211" s="3"/>
      <c r="O211" s="3"/>
      <c r="P211" s="3"/>
      <c r="Q211" s="3" t="s">
        <v>41</v>
      </c>
      <c r="R211" s="3"/>
      <c r="S211" s="3" t="s">
        <v>44</v>
      </c>
      <c r="T211" s="3" t="s">
        <v>44</v>
      </c>
      <c r="U211" s="3" t="s">
        <v>41</v>
      </c>
      <c r="V211" s="3"/>
      <c r="W211" s="3"/>
      <c r="X211" s="6"/>
      <c r="Y211" s="7"/>
      <c r="Z211" s="7"/>
      <c r="AA211" s="3" t="s">
        <v>44</v>
      </c>
      <c r="AB211" s="3" t="s">
        <v>44</v>
      </c>
      <c r="AC211" s="8" t="s">
        <v>1398</v>
      </c>
      <c r="AD211" s="2" t="s">
        <v>55</v>
      </c>
      <c r="AE211" s="9" t="str">
        <f t="shared" si="6"/>
        <v>Open in Google Maps</v>
      </c>
    </row>
    <row r="212" spans="1:31" s="140" customFormat="1" ht="34.15" customHeight="1" x14ac:dyDescent="0.3">
      <c r="A212" s="1">
        <f t="shared" si="7"/>
        <v>209</v>
      </c>
      <c r="B212" s="2" t="s">
        <v>1399</v>
      </c>
      <c r="C212" s="3" t="s">
        <v>1400</v>
      </c>
      <c r="D212" s="3" t="s">
        <v>1401</v>
      </c>
      <c r="E212" s="3" t="s">
        <v>35</v>
      </c>
      <c r="F212" s="3" t="s">
        <v>144</v>
      </c>
      <c r="G212" s="4">
        <v>46218</v>
      </c>
      <c r="H212" s="2" t="s">
        <v>640</v>
      </c>
      <c r="I212" s="2" t="s">
        <v>1402</v>
      </c>
      <c r="J212" s="2" t="s">
        <v>770</v>
      </c>
      <c r="K212" s="2" t="s">
        <v>1403</v>
      </c>
      <c r="L212" s="5">
        <v>-23.390599999999999</v>
      </c>
      <c r="M212" s="5">
        <v>150.45220699999999</v>
      </c>
      <c r="N212" s="3"/>
      <c r="O212" s="3"/>
      <c r="P212" s="3"/>
      <c r="Q212" s="3"/>
      <c r="R212" s="3"/>
      <c r="S212" s="3" t="s">
        <v>44</v>
      </c>
      <c r="T212" s="3" t="s">
        <v>44</v>
      </c>
      <c r="U212" s="3"/>
      <c r="V212" s="3"/>
      <c r="W212" s="3"/>
      <c r="X212" s="6"/>
      <c r="Y212" s="7"/>
      <c r="Z212" s="7"/>
      <c r="AA212" s="7"/>
      <c r="AB212" s="7"/>
      <c r="AC212" s="11" t="s">
        <v>1404</v>
      </c>
      <c r="AD212" s="12" t="s">
        <v>55</v>
      </c>
      <c r="AE212" s="9" t="str">
        <f t="shared" si="6"/>
        <v>Open in Google Maps</v>
      </c>
    </row>
    <row r="213" spans="1:31" s="140" customFormat="1" ht="66" x14ac:dyDescent="0.3">
      <c r="A213" s="1">
        <f t="shared" si="7"/>
        <v>210</v>
      </c>
      <c r="B213" s="2" t="s">
        <v>1405</v>
      </c>
      <c r="C213" s="3" t="s">
        <v>1406</v>
      </c>
      <c r="D213" s="3" t="s">
        <v>1407</v>
      </c>
      <c r="E213" s="3" t="s">
        <v>35</v>
      </c>
      <c r="F213" s="4" t="s">
        <v>36</v>
      </c>
      <c r="G213" s="4">
        <v>46444</v>
      </c>
      <c r="H213" s="2" t="s">
        <v>37</v>
      </c>
      <c r="I213" s="2" t="s">
        <v>1408</v>
      </c>
      <c r="J213" s="10" t="s">
        <v>1409</v>
      </c>
      <c r="K213" s="2" t="s">
        <v>1410</v>
      </c>
      <c r="L213" s="5">
        <v>-20.27274749</v>
      </c>
      <c r="M213" s="5">
        <v>148.597982</v>
      </c>
      <c r="N213" s="3"/>
      <c r="O213" s="3"/>
      <c r="P213" s="3"/>
      <c r="Q213" s="3" t="s">
        <v>42</v>
      </c>
      <c r="R213" s="3" t="s">
        <v>44</v>
      </c>
      <c r="S213" s="3"/>
      <c r="T213" s="3"/>
      <c r="U213" s="3"/>
      <c r="V213" s="3" t="s">
        <v>43</v>
      </c>
      <c r="W213" s="3" t="s">
        <v>44</v>
      </c>
      <c r="X213" s="6" t="s">
        <v>44</v>
      </c>
      <c r="Y213" s="3"/>
      <c r="Z213" s="3"/>
      <c r="AA213" s="3" t="s">
        <v>44</v>
      </c>
      <c r="AB213" s="3" t="s">
        <v>44</v>
      </c>
      <c r="AC213" s="8" t="s">
        <v>577</v>
      </c>
      <c r="AD213" s="2" t="s">
        <v>63</v>
      </c>
      <c r="AE213" s="9" t="str">
        <f t="shared" si="6"/>
        <v>Open in Google Maps</v>
      </c>
    </row>
    <row r="214" spans="1:31" s="140" customFormat="1" ht="34.9" customHeight="1" x14ac:dyDescent="0.3">
      <c r="A214" s="1">
        <f t="shared" si="7"/>
        <v>211</v>
      </c>
      <c r="B214" s="72" t="s">
        <v>1411</v>
      </c>
      <c r="C214" s="30" t="s">
        <v>1412</v>
      </c>
      <c r="D214" s="30" t="s">
        <v>1413</v>
      </c>
      <c r="E214" s="30" t="s">
        <v>35</v>
      </c>
      <c r="F214" s="3" t="s">
        <v>36</v>
      </c>
      <c r="G214" s="67">
        <v>46443</v>
      </c>
      <c r="H214" s="72" t="s">
        <v>145</v>
      </c>
      <c r="I214" s="72" t="s">
        <v>1414</v>
      </c>
      <c r="J214" s="72" t="s">
        <v>1415</v>
      </c>
      <c r="K214" s="72" t="s">
        <v>1416</v>
      </c>
      <c r="L214" s="73">
        <v>-21.097021999999999</v>
      </c>
      <c r="M214" s="73">
        <v>149.22181399999999</v>
      </c>
      <c r="N214" s="30"/>
      <c r="O214" s="30" t="s">
        <v>41</v>
      </c>
      <c r="P214" s="30"/>
      <c r="Q214" s="30" t="s">
        <v>41</v>
      </c>
      <c r="R214" s="30"/>
      <c r="S214" s="30" t="s">
        <v>44</v>
      </c>
      <c r="T214" s="30" t="s">
        <v>44</v>
      </c>
      <c r="U214" s="30" t="s">
        <v>41</v>
      </c>
      <c r="V214" s="30" t="s">
        <v>149</v>
      </c>
      <c r="W214" s="30"/>
      <c r="X214" s="82"/>
      <c r="Y214" s="40"/>
      <c r="Z214" s="40"/>
      <c r="AA214" s="40"/>
      <c r="AB214" s="30" t="s">
        <v>44</v>
      </c>
      <c r="AC214" s="74" t="s">
        <v>1417</v>
      </c>
      <c r="AD214" s="75" t="s">
        <v>55</v>
      </c>
      <c r="AE214" s="9" t="str">
        <f t="shared" si="6"/>
        <v>Open in Google Maps</v>
      </c>
    </row>
    <row r="215" spans="1:31" s="140" customFormat="1" ht="66" x14ac:dyDescent="0.3">
      <c r="A215" s="1">
        <f t="shared" si="7"/>
        <v>212</v>
      </c>
      <c r="B215" s="15" t="s">
        <v>1418</v>
      </c>
      <c r="C215" s="16" t="s">
        <v>1419</v>
      </c>
      <c r="D215" s="16" t="s">
        <v>1420</v>
      </c>
      <c r="E215" s="16" t="s">
        <v>35</v>
      </c>
      <c r="F215" s="16" t="s">
        <v>88</v>
      </c>
      <c r="G215" s="17">
        <v>46379</v>
      </c>
      <c r="H215" s="15" t="s">
        <v>280</v>
      </c>
      <c r="I215" s="15" t="s">
        <v>1421</v>
      </c>
      <c r="J215" s="15" t="s">
        <v>883</v>
      </c>
      <c r="K215" s="15" t="s">
        <v>1422</v>
      </c>
      <c r="L215" s="44">
        <v>-27.909490999999999</v>
      </c>
      <c r="M215" s="44">
        <v>153.29220000000001</v>
      </c>
      <c r="N215" s="16"/>
      <c r="O215" s="16" t="s">
        <v>44</v>
      </c>
      <c r="P215" s="16"/>
      <c r="Q215" s="55" t="s">
        <v>42</v>
      </c>
      <c r="R215" s="16" t="s">
        <v>44</v>
      </c>
      <c r="S215" s="16" t="s">
        <v>44</v>
      </c>
      <c r="T215" s="16" t="s">
        <v>44</v>
      </c>
      <c r="U215" s="16" t="s">
        <v>44</v>
      </c>
      <c r="V215" s="16" t="s">
        <v>70</v>
      </c>
      <c r="W215" s="16" t="s">
        <v>44</v>
      </c>
      <c r="X215" s="20" t="s">
        <v>44</v>
      </c>
      <c r="Y215" s="16"/>
      <c r="Z215" s="16"/>
      <c r="AA215" s="16" t="s">
        <v>44</v>
      </c>
      <c r="AB215" s="16" t="s">
        <v>44</v>
      </c>
      <c r="AC215" s="65" t="s">
        <v>1423</v>
      </c>
      <c r="AD215" s="15" t="s">
        <v>247</v>
      </c>
      <c r="AE215" s="9" t="str">
        <f t="shared" si="6"/>
        <v>Open in Google Maps</v>
      </c>
    </row>
    <row r="216" spans="1:31" s="140" customFormat="1" ht="66" x14ac:dyDescent="0.3">
      <c r="A216" s="1">
        <f t="shared" si="7"/>
        <v>213</v>
      </c>
      <c r="B216" s="72" t="s">
        <v>1424</v>
      </c>
      <c r="C216" s="30" t="s">
        <v>1425</v>
      </c>
      <c r="D216" s="30" t="s">
        <v>1426</v>
      </c>
      <c r="E216" s="30" t="s">
        <v>35</v>
      </c>
      <c r="F216" s="3" t="s">
        <v>88</v>
      </c>
      <c r="G216" s="67">
        <v>46743</v>
      </c>
      <c r="H216" s="32" t="s">
        <v>333</v>
      </c>
      <c r="I216" s="72" t="s">
        <v>1427</v>
      </c>
      <c r="J216" s="72" t="s">
        <v>1428</v>
      </c>
      <c r="K216" s="72" t="s">
        <v>1427</v>
      </c>
      <c r="L216" s="73">
        <v>-25.166029999999999</v>
      </c>
      <c r="M216" s="73">
        <v>152.363291</v>
      </c>
      <c r="N216" s="30"/>
      <c r="O216" s="30" t="s">
        <v>44</v>
      </c>
      <c r="P216" s="30"/>
      <c r="Q216" s="13" t="s">
        <v>42</v>
      </c>
      <c r="R216" s="30" t="s">
        <v>44</v>
      </c>
      <c r="S216" s="30"/>
      <c r="T216" s="30"/>
      <c r="U216" s="30"/>
      <c r="V216" s="30" t="s">
        <v>70</v>
      </c>
      <c r="W216" s="30" t="s">
        <v>44</v>
      </c>
      <c r="X216" s="82" t="s">
        <v>44</v>
      </c>
      <c r="Y216" s="7"/>
      <c r="Z216" s="7"/>
      <c r="AA216" s="40"/>
      <c r="AB216" s="40"/>
      <c r="AC216" s="75" t="s">
        <v>112</v>
      </c>
      <c r="AD216" s="75" t="s">
        <v>113</v>
      </c>
      <c r="AE216" s="9" t="str">
        <f t="shared" si="6"/>
        <v>Open in Google Maps</v>
      </c>
    </row>
    <row r="217" spans="1:31" s="141" customFormat="1" ht="36" customHeight="1" x14ac:dyDescent="0.3">
      <c r="A217" s="1">
        <f t="shared" si="7"/>
        <v>214</v>
      </c>
      <c r="B217" s="72" t="s">
        <v>1429</v>
      </c>
      <c r="C217" s="30" t="s">
        <v>1430</v>
      </c>
      <c r="D217" s="30" t="s">
        <v>1431</v>
      </c>
      <c r="E217" s="30" t="s">
        <v>35</v>
      </c>
      <c r="F217" s="3" t="s">
        <v>117</v>
      </c>
      <c r="G217" s="67">
        <v>46304</v>
      </c>
      <c r="H217" s="32" t="s">
        <v>333</v>
      </c>
      <c r="I217" s="72" t="s">
        <v>1432</v>
      </c>
      <c r="J217" s="72" t="s">
        <v>1433</v>
      </c>
      <c r="K217" s="72" t="s">
        <v>1434</v>
      </c>
      <c r="L217" s="73">
        <v>-25.222494000000001</v>
      </c>
      <c r="M217" s="73">
        <v>152.20314300000001</v>
      </c>
      <c r="N217" s="30"/>
      <c r="O217" s="30"/>
      <c r="P217" s="30"/>
      <c r="Q217" s="13"/>
      <c r="R217" s="30"/>
      <c r="S217" s="30"/>
      <c r="T217" s="30"/>
      <c r="U217" s="30"/>
      <c r="V217" s="30"/>
      <c r="W217" s="30"/>
      <c r="X217" s="82"/>
      <c r="Y217" s="40"/>
      <c r="Z217" s="29" t="s">
        <v>44</v>
      </c>
      <c r="AA217" s="7"/>
      <c r="AB217" s="7"/>
      <c r="AC217" s="83" t="s">
        <v>1435</v>
      </c>
      <c r="AD217" s="75" t="s">
        <v>177</v>
      </c>
      <c r="AE217" s="9" t="str">
        <f t="shared" si="6"/>
        <v>Open in Google Maps</v>
      </c>
    </row>
    <row r="218" spans="1:31" s="140" customFormat="1" ht="33" x14ac:dyDescent="0.3">
      <c r="A218" s="1">
        <f t="shared" si="7"/>
        <v>215</v>
      </c>
      <c r="B218" s="2" t="s">
        <v>1436</v>
      </c>
      <c r="C218" s="3" t="s">
        <v>1437</v>
      </c>
      <c r="D218" s="3" t="s">
        <v>1438</v>
      </c>
      <c r="E218" s="3" t="s">
        <v>35</v>
      </c>
      <c r="F218" s="3" t="s">
        <v>303</v>
      </c>
      <c r="G218" s="17">
        <v>46586</v>
      </c>
      <c r="H218" s="2" t="s">
        <v>640</v>
      </c>
      <c r="I218" s="2" t="s">
        <v>1439</v>
      </c>
      <c r="J218" s="2" t="s">
        <v>1440</v>
      </c>
      <c r="K218" s="2" t="s">
        <v>1441</v>
      </c>
      <c r="L218" s="5">
        <v>-23.307120000000001</v>
      </c>
      <c r="M218" s="5">
        <v>150.53561199999999</v>
      </c>
      <c r="N218" s="3"/>
      <c r="O218" s="3"/>
      <c r="P218" s="3"/>
      <c r="Q218" s="3"/>
      <c r="R218" s="3"/>
      <c r="S218" s="3"/>
      <c r="T218" s="3"/>
      <c r="U218" s="3" t="s">
        <v>41</v>
      </c>
      <c r="V218" s="3" t="s">
        <v>70</v>
      </c>
      <c r="W218" s="3"/>
      <c r="X218" s="6"/>
      <c r="Y218" s="7"/>
      <c r="Z218" s="7"/>
      <c r="AA218" s="7"/>
      <c r="AB218" s="7"/>
      <c r="AC218" s="11" t="s">
        <v>1442</v>
      </c>
      <c r="AD218" s="12" t="s">
        <v>63</v>
      </c>
      <c r="AE218" s="9" t="str">
        <f t="shared" si="6"/>
        <v>Open in Google Maps</v>
      </c>
    </row>
    <row r="219" spans="1:31" s="140" customFormat="1" ht="99" x14ac:dyDescent="0.3">
      <c r="A219" s="1">
        <f t="shared" si="7"/>
        <v>216</v>
      </c>
      <c r="B219" s="2" t="s">
        <v>1443</v>
      </c>
      <c r="C219" s="3" t="s">
        <v>1444</v>
      </c>
      <c r="D219" s="3" t="s">
        <v>1445</v>
      </c>
      <c r="E219" s="3" t="s">
        <v>35</v>
      </c>
      <c r="F219" s="3" t="s">
        <v>117</v>
      </c>
      <c r="G219" s="4">
        <v>46692</v>
      </c>
      <c r="H219" s="2" t="s">
        <v>324</v>
      </c>
      <c r="I219" s="2" t="s">
        <v>1446</v>
      </c>
      <c r="J219" s="2" t="s">
        <v>1447</v>
      </c>
      <c r="K219" s="2" t="s">
        <v>1446</v>
      </c>
      <c r="L219" s="5">
        <v>-28.008524000000001</v>
      </c>
      <c r="M219" s="5">
        <v>148.758726</v>
      </c>
      <c r="N219" s="3"/>
      <c r="O219" s="3"/>
      <c r="P219" s="3"/>
      <c r="Q219" s="3"/>
      <c r="R219" s="3"/>
      <c r="S219" s="3"/>
      <c r="T219" s="3"/>
      <c r="U219" s="3"/>
      <c r="V219" s="3" t="s">
        <v>122</v>
      </c>
      <c r="W219" s="3"/>
      <c r="X219" s="6"/>
      <c r="Y219" s="7"/>
      <c r="Z219" s="7"/>
      <c r="AA219" s="7"/>
      <c r="AB219" s="7"/>
      <c r="AC219" s="11" t="s">
        <v>1448</v>
      </c>
      <c r="AD219" s="12" t="s">
        <v>140</v>
      </c>
      <c r="AE219" s="9" t="str">
        <f t="shared" si="6"/>
        <v>Open in Google Maps</v>
      </c>
    </row>
    <row r="220" spans="1:31" s="140" customFormat="1" ht="34.9" customHeight="1" x14ac:dyDescent="0.3">
      <c r="A220" s="1">
        <f t="shared" si="7"/>
        <v>217</v>
      </c>
      <c r="B220" s="15" t="s">
        <v>1449</v>
      </c>
      <c r="C220" s="16" t="s">
        <v>1450</v>
      </c>
      <c r="D220" s="16" t="s">
        <v>1451</v>
      </c>
      <c r="E220" s="16" t="s">
        <v>35</v>
      </c>
      <c r="F220" s="16" t="s">
        <v>36</v>
      </c>
      <c r="G220" s="17">
        <v>46648</v>
      </c>
      <c r="H220" s="15" t="s">
        <v>145</v>
      </c>
      <c r="I220" s="15" t="s">
        <v>1452</v>
      </c>
      <c r="J220" s="15" t="s">
        <v>1168</v>
      </c>
      <c r="K220" s="15" t="s">
        <v>1169</v>
      </c>
      <c r="L220" s="19">
        <v>-21.309000000000001</v>
      </c>
      <c r="M220" s="19">
        <v>148.83376899999999</v>
      </c>
      <c r="N220" s="16"/>
      <c r="O220" s="16" t="s">
        <v>41</v>
      </c>
      <c r="P220" s="16"/>
      <c r="Q220" s="16" t="s">
        <v>41</v>
      </c>
      <c r="R220" s="16"/>
      <c r="S220" s="16" t="s">
        <v>44</v>
      </c>
      <c r="T220" s="16" t="s">
        <v>44</v>
      </c>
      <c r="U220" s="16" t="s">
        <v>41</v>
      </c>
      <c r="V220" s="16" t="s">
        <v>149</v>
      </c>
      <c r="W220" s="16"/>
      <c r="X220" s="20"/>
      <c r="Y220" s="7"/>
      <c r="Z220" s="7"/>
      <c r="AA220" s="7"/>
      <c r="AB220" s="7"/>
      <c r="AC220" s="65" t="s">
        <v>1453</v>
      </c>
      <c r="AD220" s="15" t="s">
        <v>55</v>
      </c>
      <c r="AE220" s="9" t="str">
        <f t="shared" si="6"/>
        <v>Open in Google Maps</v>
      </c>
    </row>
    <row r="221" spans="1:31" s="141" customFormat="1" ht="37.9" customHeight="1" x14ac:dyDescent="0.3">
      <c r="A221" s="1">
        <f t="shared" si="7"/>
        <v>218</v>
      </c>
      <c r="B221" s="41" t="s">
        <v>1454</v>
      </c>
      <c r="C221" s="42" t="s">
        <v>1455</v>
      </c>
      <c r="D221" s="42" t="s">
        <v>1456</v>
      </c>
      <c r="E221" s="42" t="s">
        <v>35</v>
      </c>
      <c r="F221" s="55" t="s">
        <v>36</v>
      </c>
      <c r="G221" s="43">
        <v>46347</v>
      </c>
      <c r="H221" s="41" t="s">
        <v>640</v>
      </c>
      <c r="I221" s="41" t="s">
        <v>1457</v>
      </c>
      <c r="J221" s="41" t="s">
        <v>770</v>
      </c>
      <c r="K221" s="41" t="s">
        <v>1403</v>
      </c>
      <c r="L221" s="44">
        <v>-23.331569999999999</v>
      </c>
      <c r="M221" s="44">
        <v>150.46640400000001</v>
      </c>
      <c r="N221" s="42"/>
      <c r="O221" s="42" t="s">
        <v>41</v>
      </c>
      <c r="P221" s="42"/>
      <c r="Q221" s="42" t="s">
        <v>41</v>
      </c>
      <c r="R221" s="42"/>
      <c r="S221" s="42" t="s">
        <v>44</v>
      </c>
      <c r="T221" s="42" t="s">
        <v>44</v>
      </c>
      <c r="U221" s="42" t="s">
        <v>41</v>
      </c>
      <c r="V221" s="42" t="s">
        <v>149</v>
      </c>
      <c r="W221" s="42"/>
      <c r="X221" s="45"/>
      <c r="Y221" s="7"/>
      <c r="Z221" s="7"/>
      <c r="AA221" s="7"/>
      <c r="AB221" s="29"/>
      <c r="AC221" s="104" t="s">
        <v>1458</v>
      </c>
      <c r="AD221" s="41" t="s">
        <v>1459</v>
      </c>
      <c r="AE221" s="9" t="str">
        <f t="shared" si="6"/>
        <v>Open in Google Maps</v>
      </c>
    </row>
    <row r="222" spans="1:31" s="140" customFormat="1" ht="66" x14ac:dyDescent="0.3">
      <c r="A222" s="1">
        <f t="shared" si="7"/>
        <v>219</v>
      </c>
      <c r="B222" s="2" t="s">
        <v>1460</v>
      </c>
      <c r="C222" s="3" t="s">
        <v>1461</v>
      </c>
      <c r="D222" s="3" t="s">
        <v>1462</v>
      </c>
      <c r="E222" s="3" t="s">
        <v>35</v>
      </c>
      <c r="F222" s="3" t="s">
        <v>36</v>
      </c>
      <c r="G222" s="4">
        <v>46592</v>
      </c>
      <c r="H222" s="2" t="s">
        <v>50</v>
      </c>
      <c r="I222" s="2" t="s">
        <v>1463</v>
      </c>
      <c r="J222" s="2" t="s">
        <v>164</v>
      </c>
      <c r="K222" s="2" t="s">
        <v>1464</v>
      </c>
      <c r="L222" s="5">
        <v>-19.379000000000001</v>
      </c>
      <c r="M222" s="5">
        <v>146.66999999999999</v>
      </c>
      <c r="N222" s="14"/>
      <c r="O222" s="3" t="s">
        <v>41</v>
      </c>
      <c r="P222" s="3"/>
      <c r="Q222" s="3" t="s">
        <v>42</v>
      </c>
      <c r="R222" s="3" t="s">
        <v>44</v>
      </c>
      <c r="S222" s="3" t="s">
        <v>41</v>
      </c>
      <c r="T222" s="3" t="s">
        <v>41</v>
      </c>
      <c r="U222" s="3" t="s">
        <v>41</v>
      </c>
      <c r="V222" s="3" t="s">
        <v>43</v>
      </c>
      <c r="W222" s="3"/>
      <c r="X222" s="6"/>
      <c r="Y222" s="7"/>
      <c r="Z222" s="7"/>
      <c r="AA222" s="7"/>
      <c r="AB222" s="7" t="s">
        <v>1465</v>
      </c>
      <c r="AC222" s="8" t="s">
        <v>1466</v>
      </c>
      <c r="AD222" s="2" t="s">
        <v>1467</v>
      </c>
      <c r="AE222" s="9" t="str">
        <f t="shared" si="6"/>
        <v>Open in Google Maps</v>
      </c>
    </row>
    <row r="223" spans="1:31" s="140" customFormat="1" ht="66" x14ac:dyDescent="0.3">
      <c r="A223" s="1">
        <f t="shared" si="7"/>
        <v>220</v>
      </c>
      <c r="B223" s="2" t="s">
        <v>1468</v>
      </c>
      <c r="C223" s="3" t="s">
        <v>1469</v>
      </c>
      <c r="D223" s="3" t="s">
        <v>1470</v>
      </c>
      <c r="E223" s="3" t="s">
        <v>35</v>
      </c>
      <c r="F223" s="3" t="s">
        <v>36</v>
      </c>
      <c r="G223" s="4">
        <v>46464</v>
      </c>
      <c r="H223" s="2" t="s">
        <v>1471</v>
      </c>
      <c r="I223" s="2" t="s">
        <v>1472</v>
      </c>
      <c r="J223" s="2" t="s">
        <v>164</v>
      </c>
      <c r="K223" s="2" t="s">
        <v>1472</v>
      </c>
      <c r="L223" s="5">
        <v>-20.039735448489999</v>
      </c>
      <c r="M223" s="5">
        <v>146.37655707856001</v>
      </c>
      <c r="N223" s="3"/>
      <c r="O223" s="3" t="s">
        <v>41</v>
      </c>
      <c r="P223" s="3"/>
      <c r="Q223" s="3" t="s">
        <v>42</v>
      </c>
      <c r="R223" s="3" t="s">
        <v>44</v>
      </c>
      <c r="S223" s="3" t="s">
        <v>41</v>
      </c>
      <c r="T223" s="3" t="s">
        <v>41</v>
      </c>
      <c r="U223" s="3"/>
      <c r="V223" s="3" t="s">
        <v>70</v>
      </c>
      <c r="W223" s="3"/>
      <c r="X223" s="6"/>
      <c r="Y223" s="7"/>
      <c r="Z223" s="7"/>
      <c r="AA223" s="7"/>
      <c r="AB223" s="7"/>
      <c r="AC223" s="11" t="s">
        <v>1473</v>
      </c>
      <c r="AD223" s="12" t="s">
        <v>209</v>
      </c>
      <c r="AE223" s="9" t="str">
        <f t="shared" si="6"/>
        <v>Open in Google Maps</v>
      </c>
    </row>
    <row r="224" spans="1:31" s="140" customFormat="1" ht="21.6" customHeight="1" x14ac:dyDescent="0.3">
      <c r="A224" s="1">
        <f t="shared" si="7"/>
        <v>221</v>
      </c>
      <c r="B224" s="2" t="s">
        <v>1474</v>
      </c>
      <c r="C224" s="3" t="s">
        <v>1475</v>
      </c>
      <c r="D224" s="3" t="s">
        <v>1476</v>
      </c>
      <c r="E224" s="3" t="s">
        <v>35</v>
      </c>
      <c r="F224" s="3" t="s">
        <v>36</v>
      </c>
      <c r="G224" s="4">
        <v>46345</v>
      </c>
      <c r="H224" s="2" t="s">
        <v>387</v>
      </c>
      <c r="I224" s="2" t="s">
        <v>1477</v>
      </c>
      <c r="J224" s="2" t="s">
        <v>1478</v>
      </c>
      <c r="K224" s="2" t="s">
        <v>1479</v>
      </c>
      <c r="L224" s="5">
        <v>-16.8706</v>
      </c>
      <c r="M224" s="5">
        <v>145.68860000000001</v>
      </c>
      <c r="N224" s="3"/>
      <c r="O224" s="3" t="s">
        <v>41</v>
      </c>
      <c r="P224" s="3"/>
      <c r="Q224" s="3" t="s">
        <v>41</v>
      </c>
      <c r="R224" s="3"/>
      <c r="S224" s="3" t="s">
        <v>44</v>
      </c>
      <c r="T224" s="3" t="s">
        <v>44</v>
      </c>
      <c r="U224" s="3" t="s">
        <v>41</v>
      </c>
      <c r="V224" s="3"/>
      <c r="W224" s="3"/>
      <c r="X224" s="6"/>
      <c r="Y224" s="7"/>
      <c r="Z224" s="7"/>
      <c r="AA224" s="7"/>
      <c r="AB224" s="29" t="s">
        <v>44</v>
      </c>
      <c r="AC224" s="11" t="s">
        <v>1480</v>
      </c>
      <c r="AD224" s="12" t="s">
        <v>55</v>
      </c>
      <c r="AE224" s="9" t="str">
        <f t="shared" si="6"/>
        <v>Open in Google Maps</v>
      </c>
    </row>
    <row r="225" spans="1:31" s="140" customFormat="1" ht="22.15" customHeight="1" x14ac:dyDescent="0.3">
      <c r="A225" s="1">
        <f t="shared" si="7"/>
        <v>222</v>
      </c>
      <c r="B225" s="72" t="s">
        <v>1481</v>
      </c>
      <c r="C225" s="30" t="s">
        <v>1482</v>
      </c>
      <c r="D225" s="30" t="s">
        <v>1483</v>
      </c>
      <c r="E225" s="30" t="s">
        <v>35</v>
      </c>
      <c r="F225" s="3" t="s">
        <v>36</v>
      </c>
      <c r="G225" s="67">
        <v>46150</v>
      </c>
      <c r="H225" s="72" t="s">
        <v>227</v>
      </c>
      <c r="I225" s="72" t="s">
        <v>1484</v>
      </c>
      <c r="J225" s="72" t="s">
        <v>1478</v>
      </c>
      <c r="K225" s="72" t="s">
        <v>1479</v>
      </c>
      <c r="L225" s="73">
        <v>17.174112000000001</v>
      </c>
      <c r="M225" s="73">
        <v>145.069132</v>
      </c>
      <c r="N225" s="30"/>
      <c r="O225" s="3"/>
      <c r="P225" s="3"/>
      <c r="Q225" s="13"/>
      <c r="R225" s="30"/>
      <c r="S225" s="30" t="s">
        <v>44</v>
      </c>
      <c r="T225" s="30" t="s">
        <v>44</v>
      </c>
      <c r="U225" s="30"/>
      <c r="V225" s="30"/>
      <c r="W225" s="30"/>
      <c r="X225" s="82"/>
      <c r="Y225" s="30"/>
      <c r="Z225" s="7"/>
      <c r="AA225" s="7"/>
      <c r="AB225" s="7"/>
      <c r="AC225" s="74" t="s">
        <v>1485</v>
      </c>
      <c r="AD225" s="75" t="s">
        <v>55</v>
      </c>
      <c r="AE225" s="9" t="str">
        <f t="shared" si="6"/>
        <v>Open in Google Maps</v>
      </c>
    </row>
    <row r="226" spans="1:31" s="140" customFormat="1" ht="66" x14ac:dyDescent="0.3">
      <c r="A226" s="1">
        <f t="shared" si="7"/>
        <v>223</v>
      </c>
      <c r="B226" s="15" t="s">
        <v>1486</v>
      </c>
      <c r="C226" s="16" t="s">
        <v>1487</v>
      </c>
      <c r="D226" s="16" t="s">
        <v>1488</v>
      </c>
      <c r="E226" s="16" t="s">
        <v>35</v>
      </c>
      <c r="F226" s="16" t="s">
        <v>88</v>
      </c>
      <c r="G226" s="17">
        <v>46277</v>
      </c>
      <c r="H226" s="15" t="s">
        <v>387</v>
      </c>
      <c r="I226" s="15" t="s">
        <v>1489</v>
      </c>
      <c r="J226" s="15" t="s">
        <v>1478</v>
      </c>
      <c r="K226" s="15" t="s">
        <v>1479</v>
      </c>
      <c r="L226" s="19">
        <v>-17.085874</v>
      </c>
      <c r="M226" s="19">
        <v>145.722768</v>
      </c>
      <c r="N226" s="16"/>
      <c r="O226" s="16" t="s">
        <v>44</v>
      </c>
      <c r="P226" s="16"/>
      <c r="Q226" s="16" t="s">
        <v>42</v>
      </c>
      <c r="R226" s="16" t="s">
        <v>44</v>
      </c>
      <c r="S226" s="16" t="s">
        <v>44</v>
      </c>
      <c r="T226" s="16" t="s">
        <v>44</v>
      </c>
      <c r="U226" s="16" t="s">
        <v>44</v>
      </c>
      <c r="V226" s="16" t="s">
        <v>43</v>
      </c>
      <c r="W226" s="16" t="s">
        <v>44</v>
      </c>
      <c r="X226" s="20" t="s">
        <v>44</v>
      </c>
      <c r="Y226" s="16"/>
      <c r="Z226" s="16"/>
      <c r="AA226" s="16" t="s">
        <v>44</v>
      </c>
      <c r="AB226" s="16" t="s">
        <v>44</v>
      </c>
      <c r="AC226" s="11" t="s">
        <v>1490</v>
      </c>
      <c r="AD226" s="15" t="s">
        <v>247</v>
      </c>
      <c r="AE226" s="9" t="str">
        <f t="shared" si="6"/>
        <v>Open in Google Maps</v>
      </c>
    </row>
    <row r="227" spans="1:31" s="140" customFormat="1" ht="66" x14ac:dyDescent="0.3">
      <c r="A227" s="1">
        <f t="shared" si="7"/>
        <v>224</v>
      </c>
      <c r="B227" s="72" t="s">
        <v>1491</v>
      </c>
      <c r="C227" s="30" t="s">
        <v>1492</v>
      </c>
      <c r="D227" s="30" t="s">
        <v>1493</v>
      </c>
      <c r="E227" s="30" t="s">
        <v>35</v>
      </c>
      <c r="F227" s="3" t="s">
        <v>36</v>
      </c>
      <c r="G227" s="67">
        <v>46318</v>
      </c>
      <c r="H227" s="72" t="s">
        <v>311</v>
      </c>
      <c r="I227" s="72" t="s">
        <v>1494</v>
      </c>
      <c r="J227" s="72" t="s">
        <v>1478</v>
      </c>
      <c r="K227" s="72" t="s">
        <v>1479</v>
      </c>
      <c r="L227" s="73">
        <v>-17.550599999999999</v>
      </c>
      <c r="M227" s="73">
        <v>145.914446</v>
      </c>
      <c r="N227" s="30"/>
      <c r="O227" s="3"/>
      <c r="P227" s="3"/>
      <c r="Q227" s="13" t="s">
        <v>42</v>
      </c>
      <c r="R227" s="30" t="s">
        <v>44</v>
      </c>
      <c r="S227" s="30"/>
      <c r="T227" s="30"/>
      <c r="U227" s="30"/>
      <c r="V227" s="30" t="s">
        <v>70</v>
      </c>
      <c r="W227" s="30" t="s">
        <v>44</v>
      </c>
      <c r="X227" s="82" t="s">
        <v>44</v>
      </c>
      <c r="Y227" s="30"/>
      <c r="Z227" s="7"/>
      <c r="AA227" s="7"/>
      <c r="AB227" s="7"/>
      <c r="AC227" s="74" t="s">
        <v>255</v>
      </c>
      <c r="AD227" s="75" t="s">
        <v>113</v>
      </c>
      <c r="AE227" s="9" t="str">
        <f t="shared" si="6"/>
        <v>Open in Google Maps</v>
      </c>
    </row>
    <row r="228" spans="1:31" s="140" customFormat="1" ht="33" x14ac:dyDescent="0.3">
      <c r="A228" s="1">
        <f t="shared" si="7"/>
        <v>225</v>
      </c>
      <c r="B228" s="2" t="s">
        <v>1495</v>
      </c>
      <c r="C228" s="3" t="s">
        <v>1496</v>
      </c>
      <c r="D228" s="3" t="s">
        <v>1497</v>
      </c>
      <c r="E228" s="3" t="s">
        <v>35</v>
      </c>
      <c r="F228" s="4" t="s">
        <v>1187</v>
      </c>
      <c r="G228" s="4">
        <v>46705</v>
      </c>
      <c r="H228" s="2" t="s">
        <v>467</v>
      </c>
      <c r="I228" s="2" t="s">
        <v>1498</v>
      </c>
      <c r="J228" s="10" t="s">
        <v>469</v>
      </c>
      <c r="K228" s="2" t="s">
        <v>470</v>
      </c>
      <c r="L228" s="5">
        <v>-18.88079800481</v>
      </c>
      <c r="M228" s="5">
        <v>139.20198475335999</v>
      </c>
      <c r="N228" s="14"/>
      <c r="O228" s="3" t="s">
        <v>41</v>
      </c>
      <c r="P228" s="3"/>
      <c r="Q228" s="3" t="s">
        <v>41</v>
      </c>
      <c r="R228" s="3" t="s">
        <v>41</v>
      </c>
      <c r="S228" s="3" t="s">
        <v>41</v>
      </c>
      <c r="T228" s="3" t="s">
        <v>41</v>
      </c>
      <c r="U228" s="3" t="s">
        <v>41</v>
      </c>
      <c r="V228" s="3"/>
      <c r="W228" s="3"/>
      <c r="X228" s="6"/>
      <c r="Y228" s="40"/>
      <c r="Z228" s="29" t="s">
        <v>44</v>
      </c>
      <c r="AA228" s="40"/>
      <c r="AB228" s="7"/>
      <c r="AC228" s="8" t="s">
        <v>1499</v>
      </c>
      <c r="AD228" s="2" t="s">
        <v>140</v>
      </c>
      <c r="AE228" s="9" t="str">
        <f t="shared" si="6"/>
        <v>Open in Google Maps</v>
      </c>
    </row>
    <row r="229" spans="1:31" s="140" customFormat="1" ht="66" x14ac:dyDescent="0.3">
      <c r="A229" s="1">
        <f t="shared" si="7"/>
        <v>226</v>
      </c>
      <c r="B229" s="2" t="s">
        <v>1500</v>
      </c>
      <c r="C229" s="3" t="s">
        <v>1501</v>
      </c>
      <c r="D229" s="3" t="s">
        <v>1502</v>
      </c>
      <c r="E229" s="3" t="s">
        <v>35</v>
      </c>
      <c r="F229" s="3" t="s">
        <v>36</v>
      </c>
      <c r="G229" s="4">
        <v>46135</v>
      </c>
      <c r="H229" s="2" t="s">
        <v>640</v>
      </c>
      <c r="I229" s="2" t="s">
        <v>1503</v>
      </c>
      <c r="J229" s="2" t="s">
        <v>1504</v>
      </c>
      <c r="K229" s="2" t="s">
        <v>1505</v>
      </c>
      <c r="L229" s="5">
        <v>-23.491527000000001</v>
      </c>
      <c r="M229" s="5">
        <v>150.527704</v>
      </c>
      <c r="N229" s="14"/>
      <c r="O229" s="3" t="s">
        <v>44</v>
      </c>
      <c r="P229" s="3"/>
      <c r="Q229" s="3" t="s">
        <v>42</v>
      </c>
      <c r="R229" s="3" t="s">
        <v>44</v>
      </c>
      <c r="S229" s="3" t="s">
        <v>44</v>
      </c>
      <c r="T229" s="3" t="s">
        <v>44</v>
      </c>
      <c r="U229" s="3" t="s">
        <v>44</v>
      </c>
      <c r="V229" s="3" t="s">
        <v>43</v>
      </c>
      <c r="W229" s="3" t="s">
        <v>44</v>
      </c>
      <c r="X229" s="6" t="s">
        <v>44</v>
      </c>
      <c r="Y229" s="3" t="s">
        <v>44</v>
      </c>
      <c r="Z229" s="7"/>
      <c r="AA229" s="3" t="s">
        <v>44</v>
      </c>
      <c r="AB229" s="3" t="s">
        <v>44</v>
      </c>
      <c r="AC229" s="11" t="s">
        <v>1506</v>
      </c>
      <c r="AD229" s="12" t="s">
        <v>247</v>
      </c>
      <c r="AE229" s="9" t="str">
        <f t="shared" si="6"/>
        <v>Open in Google Maps</v>
      </c>
    </row>
    <row r="230" spans="1:31" s="141" customFormat="1" ht="66" x14ac:dyDescent="0.3">
      <c r="A230" s="1">
        <f t="shared" si="7"/>
        <v>227</v>
      </c>
      <c r="B230" s="2" t="s">
        <v>1507</v>
      </c>
      <c r="C230" s="3" t="s">
        <v>1508</v>
      </c>
      <c r="D230" s="3" t="s">
        <v>1509</v>
      </c>
      <c r="E230" s="3" t="s">
        <v>35</v>
      </c>
      <c r="F230" s="3" t="s">
        <v>36</v>
      </c>
      <c r="G230" s="4">
        <v>46471</v>
      </c>
      <c r="H230" s="2" t="s">
        <v>913</v>
      </c>
      <c r="I230" s="2" t="s">
        <v>1510</v>
      </c>
      <c r="J230" s="111" t="s">
        <v>1511</v>
      </c>
      <c r="K230" s="2" t="s">
        <v>1512</v>
      </c>
      <c r="L230" s="5">
        <v>-18.607139</v>
      </c>
      <c r="M230" s="5">
        <v>146.24695700000001</v>
      </c>
      <c r="N230" s="3"/>
      <c r="O230" s="3"/>
      <c r="P230" s="3"/>
      <c r="Q230" s="3" t="s">
        <v>42</v>
      </c>
      <c r="R230" s="3" t="s">
        <v>44</v>
      </c>
      <c r="S230" s="3"/>
      <c r="T230" s="3"/>
      <c r="U230" s="3" t="s">
        <v>41</v>
      </c>
      <c r="V230" s="3" t="s">
        <v>70</v>
      </c>
      <c r="W230" s="3"/>
      <c r="X230" s="6"/>
      <c r="Y230" s="7"/>
      <c r="Z230" s="7"/>
      <c r="AA230" s="7"/>
      <c r="AB230" s="7"/>
      <c r="AC230" s="11" t="s">
        <v>1513</v>
      </c>
      <c r="AD230" s="12" t="s">
        <v>209</v>
      </c>
      <c r="AE230" s="9" t="str">
        <f t="shared" si="6"/>
        <v>Open in Google Maps</v>
      </c>
    </row>
    <row r="231" spans="1:31" s="140" customFormat="1" ht="35.450000000000003" customHeight="1" x14ac:dyDescent="0.3">
      <c r="A231" s="1">
        <f t="shared" si="7"/>
        <v>228</v>
      </c>
      <c r="B231" s="2" t="s">
        <v>1514</v>
      </c>
      <c r="C231" s="3" t="s">
        <v>1515</v>
      </c>
      <c r="D231" s="3" t="s">
        <v>1516</v>
      </c>
      <c r="E231" s="3" t="s">
        <v>35</v>
      </c>
      <c r="F231" s="3" t="s">
        <v>144</v>
      </c>
      <c r="G231" s="4">
        <v>46229</v>
      </c>
      <c r="H231" s="2" t="s">
        <v>145</v>
      </c>
      <c r="I231" s="2" t="s">
        <v>1517</v>
      </c>
      <c r="J231" s="2" t="s">
        <v>922</v>
      </c>
      <c r="K231" s="2" t="s">
        <v>923</v>
      </c>
      <c r="L231" s="5">
        <v>-21.192488000000001</v>
      </c>
      <c r="M231" s="5">
        <v>148.781802</v>
      </c>
      <c r="N231" s="3"/>
      <c r="O231" s="3" t="s">
        <v>41</v>
      </c>
      <c r="P231" s="3"/>
      <c r="Q231" s="3" t="s">
        <v>41</v>
      </c>
      <c r="R231" s="3"/>
      <c r="S231" s="3" t="s">
        <v>44</v>
      </c>
      <c r="T231" s="3" t="s">
        <v>44</v>
      </c>
      <c r="U231" s="3" t="s">
        <v>41</v>
      </c>
      <c r="V231" s="3" t="s">
        <v>149</v>
      </c>
      <c r="W231" s="3"/>
      <c r="X231" s="6"/>
      <c r="Y231" s="7"/>
      <c r="Z231" s="7"/>
      <c r="AA231" s="7"/>
      <c r="AB231" s="29" t="s">
        <v>44</v>
      </c>
      <c r="AC231" s="11" t="s">
        <v>1518</v>
      </c>
      <c r="AD231" s="12" t="s">
        <v>55</v>
      </c>
      <c r="AE231" s="9" t="str">
        <f t="shared" si="6"/>
        <v>Open in Google Maps</v>
      </c>
    </row>
    <row r="232" spans="1:31" s="140" customFormat="1" ht="37.15" customHeight="1" x14ac:dyDescent="0.3">
      <c r="A232" s="1">
        <f t="shared" si="7"/>
        <v>229</v>
      </c>
      <c r="B232" s="41" t="s">
        <v>1519</v>
      </c>
      <c r="C232" s="42" t="s">
        <v>1520</v>
      </c>
      <c r="D232" s="42" t="s">
        <v>1521</v>
      </c>
      <c r="E232" s="42" t="s">
        <v>35</v>
      </c>
      <c r="F232" s="16" t="s">
        <v>36</v>
      </c>
      <c r="G232" s="43">
        <v>46701</v>
      </c>
      <c r="H232" s="41" t="s">
        <v>272</v>
      </c>
      <c r="I232" s="41" t="s">
        <v>1522</v>
      </c>
      <c r="J232" s="41" t="s">
        <v>770</v>
      </c>
      <c r="K232" s="41" t="s">
        <v>801</v>
      </c>
      <c r="L232" s="44">
        <v>-27.327999999999999</v>
      </c>
      <c r="M232" s="44">
        <v>152.184077</v>
      </c>
      <c r="N232" s="42"/>
      <c r="O232" s="42" t="s">
        <v>41</v>
      </c>
      <c r="P232" s="42"/>
      <c r="Q232" s="42" t="s">
        <v>41</v>
      </c>
      <c r="R232" s="42"/>
      <c r="S232" s="42" t="s">
        <v>44</v>
      </c>
      <c r="T232" s="42" t="s">
        <v>44</v>
      </c>
      <c r="U232" s="42" t="s">
        <v>41</v>
      </c>
      <c r="V232" s="42" t="s">
        <v>149</v>
      </c>
      <c r="W232" s="42"/>
      <c r="X232" s="45"/>
      <c r="Y232" s="7"/>
      <c r="Z232" s="7"/>
      <c r="AA232" s="7"/>
      <c r="AB232" s="42" t="s">
        <v>44</v>
      </c>
      <c r="AC232" s="46" t="s">
        <v>1523</v>
      </c>
      <c r="AD232" s="47" t="s">
        <v>55</v>
      </c>
      <c r="AE232" s="9" t="str">
        <f t="shared" si="6"/>
        <v>Open in Google Maps</v>
      </c>
    </row>
    <row r="233" spans="1:31" s="140" customFormat="1" ht="66" x14ac:dyDescent="0.3">
      <c r="A233" s="1">
        <f t="shared" si="7"/>
        <v>230</v>
      </c>
      <c r="B233" s="2" t="s">
        <v>1524</v>
      </c>
      <c r="C233" s="3" t="s">
        <v>1525</v>
      </c>
      <c r="D233" s="3" t="s">
        <v>1526</v>
      </c>
      <c r="E233" s="3" t="s">
        <v>35</v>
      </c>
      <c r="F233" s="3" t="s">
        <v>36</v>
      </c>
      <c r="G233" s="4">
        <v>46690</v>
      </c>
      <c r="H233" s="2" t="s">
        <v>181</v>
      </c>
      <c r="I233" s="2" t="s">
        <v>1527</v>
      </c>
      <c r="J233" s="72" t="s">
        <v>252</v>
      </c>
      <c r="K233" s="2" t="s">
        <v>253</v>
      </c>
      <c r="L233" s="5">
        <v>-24.048048999999999</v>
      </c>
      <c r="M233" s="5">
        <v>148.93042399999999</v>
      </c>
      <c r="N233" s="3"/>
      <c r="O233" s="3" t="s">
        <v>41</v>
      </c>
      <c r="P233" s="3"/>
      <c r="Q233" s="3" t="s">
        <v>1528</v>
      </c>
      <c r="R233" s="3" t="s">
        <v>44</v>
      </c>
      <c r="S233" s="3" t="s">
        <v>41</v>
      </c>
      <c r="T233" s="3"/>
      <c r="U233" s="3" t="s">
        <v>41</v>
      </c>
      <c r="V233" s="3" t="s">
        <v>1529</v>
      </c>
      <c r="W233" s="30"/>
      <c r="X233" s="82"/>
      <c r="Y233" s="7"/>
      <c r="Z233" s="7"/>
      <c r="AA233" s="7"/>
      <c r="AB233" s="7"/>
      <c r="AC233" s="74" t="s">
        <v>112</v>
      </c>
      <c r="AD233" s="2" t="s">
        <v>113</v>
      </c>
      <c r="AE233" s="9" t="str">
        <f t="shared" si="6"/>
        <v>Open in Google Maps</v>
      </c>
    </row>
    <row r="234" spans="1:31" s="140" customFormat="1" ht="66" x14ac:dyDescent="0.3">
      <c r="A234" s="1">
        <f t="shared" si="7"/>
        <v>231</v>
      </c>
      <c r="B234" s="72" t="s">
        <v>1530</v>
      </c>
      <c r="C234" s="30" t="s">
        <v>1531</v>
      </c>
      <c r="D234" s="30" t="s">
        <v>1532</v>
      </c>
      <c r="E234" s="30" t="s">
        <v>35</v>
      </c>
      <c r="F234" s="13" t="s">
        <v>88</v>
      </c>
      <c r="G234" s="4">
        <v>46313</v>
      </c>
      <c r="H234" s="72" t="s">
        <v>519</v>
      </c>
      <c r="I234" s="72" t="s">
        <v>1533</v>
      </c>
      <c r="J234" s="72" t="s">
        <v>750</v>
      </c>
      <c r="K234" s="72" t="s">
        <v>1533</v>
      </c>
      <c r="L234" s="73">
        <v>-23.846532</v>
      </c>
      <c r="M234" s="73">
        <v>151.11152000000001</v>
      </c>
      <c r="N234" s="30"/>
      <c r="O234" s="30" t="s">
        <v>44</v>
      </c>
      <c r="P234" s="30"/>
      <c r="Q234" s="13" t="s">
        <v>42</v>
      </c>
      <c r="R234" s="30" t="s">
        <v>44</v>
      </c>
      <c r="S234" s="30" t="s">
        <v>44</v>
      </c>
      <c r="T234" s="30" t="s">
        <v>44</v>
      </c>
      <c r="U234" s="30"/>
      <c r="V234" s="30" t="s">
        <v>70</v>
      </c>
      <c r="W234" s="30" t="s">
        <v>44</v>
      </c>
      <c r="X234" s="82" t="s">
        <v>44</v>
      </c>
      <c r="Y234" s="30" t="s">
        <v>44</v>
      </c>
      <c r="Z234" s="30"/>
      <c r="AA234" s="30" t="s">
        <v>44</v>
      </c>
      <c r="AB234" s="30" t="s">
        <v>44</v>
      </c>
      <c r="AC234" s="74" t="s">
        <v>1534</v>
      </c>
      <c r="AD234" s="75" t="s">
        <v>247</v>
      </c>
      <c r="AE234" s="9" t="str">
        <f t="shared" si="6"/>
        <v>Open in Google Maps</v>
      </c>
    </row>
    <row r="235" spans="1:31" s="140" customFormat="1" ht="24.6" customHeight="1" x14ac:dyDescent="0.3">
      <c r="A235" s="1">
        <f t="shared" si="7"/>
        <v>232</v>
      </c>
      <c r="B235" s="2" t="s">
        <v>1535</v>
      </c>
      <c r="C235" s="3" t="s">
        <v>1536</v>
      </c>
      <c r="D235" s="3" t="s">
        <v>1537</v>
      </c>
      <c r="E235" s="3" t="s">
        <v>35</v>
      </c>
      <c r="F235" s="3" t="s">
        <v>117</v>
      </c>
      <c r="G235" s="4">
        <v>46395</v>
      </c>
      <c r="H235" s="2" t="s">
        <v>82</v>
      </c>
      <c r="I235" s="2" t="s">
        <v>1538</v>
      </c>
      <c r="J235" s="72" t="s">
        <v>1539</v>
      </c>
      <c r="K235" s="2" t="s">
        <v>1538</v>
      </c>
      <c r="L235" s="5">
        <v>-27.428000000000001</v>
      </c>
      <c r="M235" s="5">
        <v>153.11533</v>
      </c>
      <c r="N235" s="3" t="s">
        <v>44</v>
      </c>
      <c r="O235" s="3"/>
      <c r="P235" s="3"/>
      <c r="Q235" s="3"/>
      <c r="R235" s="3"/>
      <c r="S235" s="3"/>
      <c r="T235" s="3"/>
      <c r="U235" s="3"/>
      <c r="V235" s="3">
        <v>2.5</v>
      </c>
      <c r="W235" s="30"/>
      <c r="X235" s="82"/>
      <c r="Y235" s="7"/>
      <c r="Z235" s="7"/>
      <c r="AA235" s="7"/>
      <c r="AB235" s="7"/>
      <c r="AC235" s="74" t="s">
        <v>98</v>
      </c>
      <c r="AD235" s="2" t="s">
        <v>99</v>
      </c>
      <c r="AE235" s="9" t="str">
        <f t="shared" si="6"/>
        <v>Open in Google Maps</v>
      </c>
    </row>
    <row r="236" spans="1:31" s="141" customFormat="1" ht="66" x14ac:dyDescent="0.3">
      <c r="A236" s="1">
        <f t="shared" si="7"/>
        <v>233</v>
      </c>
      <c r="B236" s="2" t="s">
        <v>1540</v>
      </c>
      <c r="C236" s="3" t="s">
        <v>1541</v>
      </c>
      <c r="D236" s="3" t="s">
        <v>1542</v>
      </c>
      <c r="E236" s="3" t="s">
        <v>35</v>
      </c>
      <c r="F236" s="3" t="s">
        <v>36</v>
      </c>
      <c r="G236" s="4">
        <v>46116</v>
      </c>
      <c r="H236" s="2" t="s">
        <v>558</v>
      </c>
      <c r="I236" s="2" t="s">
        <v>1543</v>
      </c>
      <c r="J236" s="2" t="s">
        <v>590</v>
      </c>
      <c r="K236" s="2" t="s">
        <v>591</v>
      </c>
      <c r="L236" s="5">
        <v>-20.684355636620001</v>
      </c>
      <c r="M236" s="5">
        <v>139.77202426836001</v>
      </c>
      <c r="N236" s="3"/>
      <c r="O236" s="3" t="s">
        <v>41</v>
      </c>
      <c r="P236" s="3"/>
      <c r="Q236" s="3" t="s">
        <v>42</v>
      </c>
      <c r="R236" s="3" t="s">
        <v>44</v>
      </c>
      <c r="S236" s="3" t="s">
        <v>41</v>
      </c>
      <c r="T236" s="3"/>
      <c r="U236" s="3" t="s">
        <v>41</v>
      </c>
      <c r="V236" s="3" t="s">
        <v>70</v>
      </c>
      <c r="W236" s="3"/>
      <c r="X236" s="6"/>
      <c r="Y236" s="7"/>
      <c r="Z236" s="7"/>
      <c r="AA236" s="7"/>
      <c r="AB236" s="7"/>
      <c r="AC236" s="8" t="s">
        <v>1544</v>
      </c>
      <c r="AD236" s="2" t="s">
        <v>247</v>
      </c>
      <c r="AE236" s="9" t="str">
        <f t="shared" si="6"/>
        <v>Open in Google Maps</v>
      </c>
    </row>
    <row r="237" spans="1:31" s="140" customFormat="1" ht="34.15" customHeight="1" x14ac:dyDescent="0.3">
      <c r="A237" s="1">
        <f t="shared" si="7"/>
        <v>234</v>
      </c>
      <c r="B237" s="23" t="s">
        <v>1545</v>
      </c>
      <c r="C237" s="13" t="s">
        <v>1546</v>
      </c>
      <c r="D237" s="13" t="s">
        <v>1547</v>
      </c>
      <c r="E237" s="13" t="s">
        <v>35</v>
      </c>
      <c r="F237" s="13" t="s">
        <v>36</v>
      </c>
      <c r="G237" s="4">
        <v>46190</v>
      </c>
      <c r="H237" s="28" t="s">
        <v>640</v>
      </c>
      <c r="I237" s="28" t="s">
        <v>1548</v>
      </c>
      <c r="J237" s="28" t="s">
        <v>1549</v>
      </c>
      <c r="K237" s="28" t="s">
        <v>1550</v>
      </c>
      <c r="L237" s="73">
        <v>-23.391850000000002</v>
      </c>
      <c r="M237" s="73">
        <v>150.4495</v>
      </c>
      <c r="N237" s="13"/>
      <c r="O237" s="13"/>
      <c r="P237" s="13"/>
      <c r="Q237" s="13"/>
      <c r="R237" s="13"/>
      <c r="S237" s="13" t="s">
        <v>44</v>
      </c>
      <c r="T237" s="13" t="s">
        <v>44</v>
      </c>
      <c r="U237" s="13"/>
      <c r="V237" s="13"/>
      <c r="W237" s="13"/>
      <c r="X237" s="26"/>
      <c r="Y237" s="7"/>
      <c r="Z237" s="13"/>
      <c r="AA237" s="7"/>
      <c r="AB237" s="7"/>
      <c r="AC237" s="27" t="s">
        <v>1551</v>
      </c>
      <c r="AD237" s="2" t="s">
        <v>55</v>
      </c>
      <c r="AE237" s="9" t="str">
        <f t="shared" si="6"/>
        <v>Open in Google Maps</v>
      </c>
    </row>
    <row r="238" spans="1:31" s="140" customFormat="1" ht="165" x14ac:dyDescent="0.3">
      <c r="A238" s="1">
        <f t="shared" si="7"/>
        <v>235</v>
      </c>
      <c r="B238" s="2" t="s">
        <v>1552</v>
      </c>
      <c r="C238" s="29" t="s">
        <v>1553</v>
      </c>
      <c r="D238" s="29" t="s">
        <v>1554</v>
      </c>
      <c r="E238" s="3" t="s">
        <v>35</v>
      </c>
      <c r="F238" s="3" t="s">
        <v>36</v>
      </c>
      <c r="G238" s="4">
        <v>46444</v>
      </c>
      <c r="H238" s="90" t="s">
        <v>324</v>
      </c>
      <c r="I238" s="90" t="s">
        <v>1555</v>
      </c>
      <c r="J238" s="90" t="s">
        <v>843</v>
      </c>
      <c r="K238" s="90" t="s">
        <v>1556</v>
      </c>
      <c r="L238" s="5">
        <v>-28.001239999999999</v>
      </c>
      <c r="M238" s="5">
        <v>147.24299999999999</v>
      </c>
      <c r="N238" s="29"/>
      <c r="O238" s="29"/>
      <c r="P238" s="29"/>
      <c r="Q238" s="30"/>
      <c r="R238" s="29"/>
      <c r="S238" s="29"/>
      <c r="T238" s="29"/>
      <c r="U238" s="29"/>
      <c r="V238" s="30" t="s">
        <v>1557</v>
      </c>
      <c r="W238" s="29"/>
      <c r="X238" s="31"/>
      <c r="Y238" s="31"/>
      <c r="Z238" s="29"/>
      <c r="AA238" s="29"/>
      <c r="AB238" s="29"/>
      <c r="AC238" s="74" t="s">
        <v>1558</v>
      </c>
      <c r="AD238" s="90" t="s">
        <v>140</v>
      </c>
      <c r="AE238" s="9" t="str">
        <f t="shared" si="6"/>
        <v>Open in Google Maps</v>
      </c>
    </row>
    <row r="239" spans="1:31" s="141" customFormat="1" ht="21.6" customHeight="1" x14ac:dyDescent="0.3">
      <c r="A239" s="1">
        <f t="shared" si="7"/>
        <v>236</v>
      </c>
      <c r="B239" s="2" t="s">
        <v>1559</v>
      </c>
      <c r="C239" s="3" t="s">
        <v>1560</v>
      </c>
      <c r="D239" s="3" t="s">
        <v>1561</v>
      </c>
      <c r="E239" s="3" t="s">
        <v>35</v>
      </c>
      <c r="F239" s="3" t="s">
        <v>36</v>
      </c>
      <c r="G239" s="4">
        <v>46172</v>
      </c>
      <c r="H239" s="2" t="s">
        <v>59</v>
      </c>
      <c r="I239" s="2" t="s">
        <v>1562</v>
      </c>
      <c r="J239" s="2" t="s">
        <v>1563</v>
      </c>
      <c r="K239" s="2" t="s">
        <v>1562</v>
      </c>
      <c r="L239" s="5">
        <v>-27.38514</v>
      </c>
      <c r="M239" s="5">
        <v>152.37721999999999</v>
      </c>
      <c r="N239" s="3"/>
      <c r="O239" s="3" t="s">
        <v>41</v>
      </c>
      <c r="P239" s="3"/>
      <c r="Q239" s="3" t="s">
        <v>41</v>
      </c>
      <c r="R239" s="3"/>
      <c r="S239" s="3" t="s">
        <v>44</v>
      </c>
      <c r="T239" s="3" t="s">
        <v>44</v>
      </c>
      <c r="U239" s="3" t="s">
        <v>41</v>
      </c>
      <c r="V239" s="3" t="s">
        <v>149</v>
      </c>
      <c r="W239" s="3"/>
      <c r="X239" s="6"/>
      <c r="Y239" s="7"/>
      <c r="Z239" s="7"/>
      <c r="AA239" s="7"/>
      <c r="AB239" s="7"/>
      <c r="AC239" s="11" t="s">
        <v>1564</v>
      </c>
      <c r="AD239" s="12" t="s">
        <v>55</v>
      </c>
      <c r="AE239" s="9" t="str">
        <f t="shared" si="6"/>
        <v>Open in Google Maps</v>
      </c>
    </row>
    <row r="240" spans="1:31" s="140" customFormat="1" ht="66" x14ac:dyDescent="0.3">
      <c r="A240" s="1">
        <f t="shared" si="7"/>
        <v>237</v>
      </c>
      <c r="B240" s="2" t="s">
        <v>1565</v>
      </c>
      <c r="C240" s="3" t="s">
        <v>1566</v>
      </c>
      <c r="D240" s="3" t="s">
        <v>1567</v>
      </c>
      <c r="E240" s="3" t="s">
        <v>35</v>
      </c>
      <c r="F240" s="3" t="s">
        <v>36</v>
      </c>
      <c r="G240" s="4">
        <v>46318</v>
      </c>
      <c r="H240" s="2" t="s">
        <v>108</v>
      </c>
      <c r="I240" s="2" t="s">
        <v>1568</v>
      </c>
      <c r="J240" s="2" t="s">
        <v>1569</v>
      </c>
      <c r="K240" s="2" t="s">
        <v>1570</v>
      </c>
      <c r="L240" s="5">
        <v>-26.285005000000002</v>
      </c>
      <c r="M240" s="5">
        <v>148.735803</v>
      </c>
      <c r="N240" s="14"/>
      <c r="O240" s="3" t="s">
        <v>44</v>
      </c>
      <c r="P240" s="3"/>
      <c r="Q240" s="3" t="s">
        <v>42</v>
      </c>
      <c r="R240" s="3" t="s">
        <v>44</v>
      </c>
      <c r="S240" s="3"/>
      <c r="T240" s="3"/>
      <c r="U240" s="3"/>
      <c r="V240" s="3" t="s">
        <v>1571</v>
      </c>
      <c r="W240" s="3"/>
      <c r="X240" s="6"/>
      <c r="Y240" s="7"/>
      <c r="Z240" s="7"/>
      <c r="AA240" s="7"/>
      <c r="AB240" s="7"/>
      <c r="AC240" s="11" t="s">
        <v>255</v>
      </c>
      <c r="AD240" s="12" t="s">
        <v>113</v>
      </c>
      <c r="AE240" s="9" t="str">
        <f t="shared" si="6"/>
        <v>Open in Google Maps</v>
      </c>
    </row>
    <row r="241" spans="1:31" s="140" customFormat="1" ht="66" x14ac:dyDescent="0.3">
      <c r="A241" s="1">
        <f t="shared" si="7"/>
        <v>238</v>
      </c>
      <c r="B241" s="2" t="s">
        <v>1572</v>
      </c>
      <c r="C241" s="3" t="s">
        <v>1573</v>
      </c>
      <c r="D241" s="3" t="s">
        <v>1574</v>
      </c>
      <c r="E241" s="3" t="s">
        <v>35</v>
      </c>
      <c r="F241" s="3" t="s">
        <v>36</v>
      </c>
      <c r="G241" s="4">
        <v>46717</v>
      </c>
      <c r="H241" s="2" t="s">
        <v>1575</v>
      </c>
      <c r="I241" s="2" t="s">
        <v>1576</v>
      </c>
      <c r="J241" s="2" t="s">
        <v>1577</v>
      </c>
      <c r="K241" s="2" t="s">
        <v>1578</v>
      </c>
      <c r="L241" s="5">
        <v>-18.315059999999999</v>
      </c>
      <c r="M241" s="5">
        <v>143.757035</v>
      </c>
      <c r="N241" s="3"/>
      <c r="O241" s="3" t="s">
        <v>41</v>
      </c>
      <c r="P241" s="3"/>
      <c r="Q241" s="3" t="s">
        <v>42</v>
      </c>
      <c r="R241" s="3" t="s">
        <v>44</v>
      </c>
      <c r="S241" s="3"/>
      <c r="T241" s="3"/>
      <c r="U241" s="3" t="s">
        <v>41</v>
      </c>
      <c r="V241" s="3" t="s">
        <v>70</v>
      </c>
      <c r="W241" s="3"/>
      <c r="X241" s="6"/>
      <c r="Y241" s="7"/>
      <c r="Z241" s="7"/>
      <c r="AA241" s="7"/>
      <c r="AB241" s="7"/>
      <c r="AC241" s="8" t="s">
        <v>1579</v>
      </c>
      <c r="AD241" s="2" t="s">
        <v>209</v>
      </c>
      <c r="AE241" s="9" t="str">
        <f t="shared" si="6"/>
        <v>Open in Google Maps</v>
      </c>
    </row>
    <row r="242" spans="1:31" s="140" customFormat="1" ht="33" x14ac:dyDescent="0.3">
      <c r="A242" s="1">
        <f t="shared" si="7"/>
        <v>239</v>
      </c>
      <c r="B242" s="2" t="s">
        <v>1580</v>
      </c>
      <c r="C242" s="3" t="s">
        <v>1581</v>
      </c>
      <c r="D242" s="3" t="s">
        <v>1582</v>
      </c>
      <c r="E242" s="3" t="s">
        <v>35</v>
      </c>
      <c r="F242" s="3" t="s">
        <v>36</v>
      </c>
      <c r="G242" s="4">
        <v>46375</v>
      </c>
      <c r="H242" s="2" t="s">
        <v>181</v>
      </c>
      <c r="I242" s="2" t="s">
        <v>1583</v>
      </c>
      <c r="J242" s="2" t="s">
        <v>1584</v>
      </c>
      <c r="K242" s="2" t="s">
        <v>1585</v>
      </c>
      <c r="L242" s="5">
        <v>-23.386500000000002</v>
      </c>
      <c r="M242" s="5">
        <v>147.759548</v>
      </c>
      <c r="N242" s="3"/>
      <c r="O242" s="3"/>
      <c r="P242" s="3"/>
      <c r="Q242" s="3"/>
      <c r="R242" s="3"/>
      <c r="S242" s="3" t="s">
        <v>44</v>
      </c>
      <c r="T242" s="3" t="s">
        <v>44</v>
      </c>
      <c r="U242" s="3"/>
      <c r="V242" s="3"/>
      <c r="W242" s="3"/>
      <c r="X242" s="6"/>
      <c r="Y242" s="7"/>
      <c r="Z242" s="7"/>
      <c r="AA242" s="7"/>
      <c r="AB242" s="7"/>
      <c r="AC242" s="11" t="s">
        <v>1586</v>
      </c>
      <c r="AD242" s="12" t="s">
        <v>55</v>
      </c>
      <c r="AE242" s="9" t="str">
        <f t="shared" si="6"/>
        <v>Open in Google Maps</v>
      </c>
    </row>
    <row r="243" spans="1:31" s="140" customFormat="1" ht="99" x14ac:dyDescent="0.3">
      <c r="A243" s="1">
        <f t="shared" si="7"/>
        <v>240</v>
      </c>
      <c r="B243" s="2" t="s">
        <v>1587</v>
      </c>
      <c r="C243" s="3" t="s">
        <v>1588</v>
      </c>
      <c r="D243" s="3" t="s">
        <v>1589</v>
      </c>
      <c r="E243" s="3" t="s">
        <v>35</v>
      </c>
      <c r="F243" s="3" t="s">
        <v>117</v>
      </c>
      <c r="G243" s="4">
        <v>46316</v>
      </c>
      <c r="H243" s="2" t="s">
        <v>128</v>
      </c>
      <c r="I243" s="2" t="s">
        <v>1590</v>
      </c>
      <c r="J243" s="2" t="s">
        <v>1591</v>
      </c>
      <c r="K243" s="2" t="s">
        <v>1590</v>
      </c>
      <c r="L243" s="5">
        <v>-27.513339999999999</v>
      </c>
      <c r="M243" s="5">
        <v>152.10759999999999</v>
      </c>
      <c r="N243" s="3"/>
      <c r="O243" s="3"/>
      <c r="P243" s="3"/>
      <c r="Q243" s="3"/>
      <c r="R243" s="3"/>
      <c r="S243" s="3"/>
      <c r="T243" s="3"/>
      <c r="U243" s="3"/>
      <c r="V243" s="3" t="s">
        <v>1592</v>
      </c>
      <c r="W243" s="3"/>
      <c r="X243" s="6"/>
      <c r="Y243" s="7"/>
      <c r="Z243" s="7"/>
      <c r="AA243" s="7"/>
      <c r="AB243" s="7"/>
      <c r="AC243" s="11" t="s">
        <v>1593</v>
      </c>
      <c r="AD243" s="12" t="s">
        <v>140</v>
      </c>
      <c r="AE243" s="9" t="str">
        <f t="shared" si="6"/>
        <v>Open in Google Maps</v>
      </c>
    </row>
    <row r="244" spans="1:31" s="140" customFormat="1" ht="21.6" customHeight="1" x14ac:dyDescent="0.3">
      <c r="A244" s="1">
        <f t="shared" si="7"/>
        <v>241</v>
      </c>
      <c r="B244" s="41" t="s">
        <v>1594</v>
      </c>
      <c r="C244" s="42" t="s">
        <v>1595</v>
      </c>
      <c r="D244" s="42" t="s">
        <v>1596</v>
      </c>
      <c r="E244" s="55" t="s">
        <v>35</v>
      </c>
      <c r="F244" s="55" t="s">
        <v>36</v>
      </c>
      <c r="G244" s="43">
        <v>46106</v>
      </c>
      <c r="H244" s="78" t="s">
        <v>975</v>
      </c>
      <c r="I244" s="15" t="s">
        <v>1597</v>
      </c>
      <c r="J244" s="41" t="s">
        <v>1598</v>
      </c>
      <c r="K244" s="15" t="s">
        <v>1597</v>
      </c>
      <c r="L244" s="44">
        <v>-23.13796</v>
      </c>
      <c r="M244" s="44">
        <v>150.38882000000001</v>
      </c>
      <c r="N244" s="112"/>
      <c r="O244" s="42" t="s">
        <v>41</v>
      </c>
      <c r="P244" s="42"/>
      <c r="Q244" s="42" t="s">
        <v>41</v>
      </c>
      <c r="R244" s="42"/>
      <c r="S244" s="42" t="s">
        <v>44</v>
      </c>
      <c r="T244" s="42" t="s">
        <v>44</v>
      </c>
      <c r="U244" s="42" t="s">
        <v>41</v>
      </c>
      <c r="V244" s="42" t="s">
        <v>149</v>
      </c>
      <c r="W244" s="42"/>
      <c r="X244" s="45"/>
      <c r="Y244" s="7"/>
      <c r="Z244" s="7"/>
      <c r="AA244" s="40"/>
      <c r="AB244" s="7"/>
      <c r="AC244" s="64" t="s">
        <v>1599</v>
      </c>
      <c r="AD244" s="64" t="s">
        <v>55</v>
      </c>
      <c r="AE244" s="9" t="str">
        <f t="shared" si="6"/>
        <v>Open in Google Maps</v>
      </c>
    </row>
    <row r="245" spans="1:31" s="140" customFormat="1" ht="34.15" customHeight="1" x14ac:dyDescent="0.3">
      <c r="A245" s="1">
        <f t="shared" si="7"/>
        <v>242</v>
      </c>
      <c r="B245" s="41" t="s">
        <v>1600</v>
      </c>
      <c r="C245" s="42" t="s">
        <v>1601</v>
      </c>
      <c r="D245" s="3" t="s">
        <v>1602</v>
      </c>
      <c r="E245" s="3" t="s">
        <v>35</v>
      </c>
      <c r="F245" s="3" t="s">
        <v>144</v>
      </c>
      <c r="G245" s="4">
        <v>46569</v>
      </c>
      <c r="H245" s="2" t="s">
        <v>145</v>
      </c>
      <c r="I245" s="15" t="s">
        <v>1603</v>
      </c>
      <c r="J245" s="2" t="s">
        <v>1092</v>
      </c>
      <c r="K245" s="2" t="s">
        <v>1604</v>
      </c>
      <c r="L245" s="44">
        <v>-21.180209000000001</v>
      </c>
      <c r="M245" s="44">
        <v>148.81713500000001</v>
      </c>
      <c r="N245" s="112"/>
      <c r="O245" s="42"/>
      <c r="P245" s="42"/>
      <c r="Q245" s="42"/>
      <c r="R245" s="42"/>
      <c r="S245" s="42" t="s">
        <v>44</v>
      </c>
      <c r="T245" s="42" t="s">
        <v>44</v>
      </c>
      <c r="U245" s="42"/>
      <c r="V245" s="42"/>
      <c r="W245" s="42"/>
      <c r="X245" s="45"/>
      <c r="Y245" s="7"/>
      <c r="Z245" s="7"/>
      <c r="AA245" s="40"/>
      <c r="AB245" s="42" t="s">
        <v>44</v>
      </c>
      <c r="AC245" s="27" t="s">
        <v>1605</v>
      </c>
      <c r="AD245" s="64" t="s">
        <v>55</v>
      </c>
      <c r="AE245" s="9" t="str">
        <f t="shared" si="6"/>
        <v>Open in Google Maps</v>
      </c>
    </row>
    <row r="246" spans="1:31" s="140" customFormat="1" ht="34.15" customHeight="1" x14ac:dyDescent="0.3">
      <c r="A246" s="1">
        <f t="shared" si="7"/>
        <v>243</v>
      </c>
      <c r="B246" s="2" t="s">
        <v>1606</v>
      </c>
      <c r="C246" s="3" t="s">
        <v>1607</v>
      </c>
      <c r="D246" s="3" t="s">
        <v>1608</v>
      </c>
      <c r="E246" s="3" t="s">
        <v>35</v>
      </c>
      <c r="F246" s="13" t="s">
        <v>36</v>
      </c>
      <c r="G246" s="24">
        <v>46344</v>
      </c>
      <c r="H246" s="2" t="s">
        <v>1471</v>
      </c>
      <c r="I246" s="2" t="s">
        <v>1609</v>
      </c>
      <c r="J246" s="28" t="s">
        <v>1610</v>
      </c>
      <c r="K246" s="2" t="s">
        <v>896</v>
      </c>
      <c r="L246" s="5">
        <v>-19.998633999999999</v>
      </c>
      <c r="M246" s="5">
        <v>146.43675619999999</v>
      </c>
      <c r="N246" s="3"/>
      <c r="O246" s="3"/>
      <c r="P246" s="3"/>
      <c r="Q246" s="3"/>
      <c r="R246" s="3"/>
      <c r="S246" s="3" t="s">
        <v>44</v>
      </c>
      <c r="T246" s="3" t="s">
        <v>44</v>
      </c>
      <c r="U246" s="3"/>
      <c r="V246" s="3"/>
      <c r="W246" s="3"/>
      <c r="X246" s="6"/>
      <c r="Y246" s="7"/>
      <c r="Z246" s="7"/>
      <c r="AA246" s="7"/>
      <c r="AB246" s="7"/>
      <c r="AC246" s="11" t="s">
        <v>897</v>
      </c>
      <c r="AD246" s="2" t="s">
        <v>55</v>
      </c>
      <c r="AE246" s="9" t="str">
        <f t="shared" si="6"/>
        <v>Open in Google Maps</v>
      </c>
    </row>
    <row r="247" spans="1:31" s="141" customFormat="1" ht="132" x14ac:dyDescent="0.3">
      <c r="A247" s="1">
        <f t="shared" si="7"/>
        <v>244</v>
      </c>
      <c r="B247" s="2" t="s">
        <v>1611</v>
      </c>
      <c r="C247" s="3" t="s">
        <v>1612</v>
      </c>
      <c r="D247" s="3" t="s">
        <v>1613</v>
      </c>
      <c r="E247" s="3" t="s">
        <v>202</v>
      </c>
      <c r="F247" s="3" t="s">
        <v>36</v>
      </c>
      <c r="G247" s="4">
        <v>46091</v>
      </c>
      <c r="H247" s="2" t="s">
        <v>1614</v>
      </c>
      <c r="I247" s="2" t="s">
        <v>1615</v>
      </c>
      <c r="J247" s="59" t="s">
        <v>205</v>
      </c>
      <c r="K247" s="2" t="s">
        <v>206</v>
      </c>
      <c r="L247" s="5">
        <v>-17.825589000000001</v>
      </c>
      <c r="M247" s="5">
        <v>141.14050800000001</v>
      </c>
      <c r="N247" s="3"/>
      <c r="O247" s="3"/>
      <c r="P247" s="3"/>
      <c r="Q247" s="3"/>
      <c r="R247" s="3"/>
      <c r="S247" s="3"/>
      <c r="T247" s="3"/>
      <c r="U247" s="3"/>
      <c r="V247" s="3" t="s">
        <v>1616</v>
      </c>
      <c r="W247" s="3"/>
      <c r="X247" s="6"/>
      <c r="Y247" s="7"/>
      <c r="Z247" s="7"/>
      <c r="AA247" s="7"/>
      <c r="AB247" s="7"/>
      <c r="AC247" s="11" t="s">
        <v>1617</v>
      </c>
      <c r="AD247" s="28" t="s">
        <v>140</v>
      </c>
      <c r="AE247" s="9" t="str">
        <f t="shared" si="6"/>
        <v>Open in Google Maps</v>
      </c>
    </row>
    <row r="248" spans="1:31" s="141" customFormat="1" ht="33" x14ac:dyDescent="0.3">
      <c r="A248" s="1">
        <f t="shared" si="7"/>
        <v>245</v>
      </c>
      <c r="B248" s="2" t="s">
        <v>1618</v>
      </c>
      <c r="C248" s="3" t="s">
        <v>1619</v>
      </c>
      <c r="D248" s="3" t="s">
        <v>1620</v>
      </c>
      <c r="E248" s="3" t="s">
        <v>35</v>
      </c>
      <c r="F248" s="3" t="s">
        <v>36</v>
      </c>
      <c r="G248" s="4">
        <v>46596</v>
      </c>
      <c r="H248" s="2" t="s">
        <v>311</v>
      </c>
      <c r="I248" s="2" t="s">
        <v>1621</v>
      </c>
      <c r="J248" s="2" t="s">
        <v>1622</v>
      </c>
      <c r="K248" s="2" t="s">
        <v>1623</v>
      </c>
      <c r="L248" s="5">
        <v>-17.924113999999999</v>
      </c>
      <c r="M248" s="5">
        <v>145.980625</v>
      </c>
      <c r="N248" s="3"/>
      <c r="O248" s="113"/>
      <c r="P248" s="113"/>
      <c r="Q248" s="3" t="s">
        <v>687</v>
      </c>
      <c r="R248" s="3"/>
      <c r="S248" s="3" t="s">
        <v>41</v>
      </c>
      <c r="T248" s="3"/>
      <c r="U248" s="3" t="s">
        <v>41</v>
      </c>
      <c r="V248" s="3" t="s">
        <v>70</v>
      </c>
      <c r="W248" s="3"/>
      <c r="X248" s="6"/>
      <c r="Y248" s="7"/>
      <c r="Z248" s="7"/>
      <c r="AA248" s="7"/>
      <c r="AB248" s="7"/>
      <c r="AC248" s="11" t="s">
        <v>1624</v>
      </c>
      <c r="AD248" s="12" t="s">
        <v>209</v>
      </c>
      <c r="AE248" s="9" t="str">
        <f t="shared" si="6"/>
        <v>Open in Google Maps</v>
      </c>
    </row>
    <row r="249" spans="1:31" s="140" customFormat="1" ht="33" x14ac:dyDescent="0.3">
      <c r="A249" s="1">
        <f t="shared" si="7"/>
        <v>246</v>
      </c>
      <c r="B249" s="2" t="s">
        <v>1625</v>
      </c>
      <c r="C249" s="3" t="s">
        <v>1626</v>
      </c>
      <c r="D249" s="3" t="s">
        <v>1627</v>
      </c>
      <c r="E249" s="3" t="s">
        <v>35</v>
      </c>
      <c r="F249" s="4" t="s">
        <v>303</v>
      </c>
      <c r="G249" s="4">
        <v>46069</v>
      </c>
      <c r="H249" s="2" t="s">
        <v>1628</v>
      </c>
      <c r="I249" s="2" t="s">
        <v>1629</v>
      </c>
      <c r="J249" s="2" t="s">
        <v>583</v>
      </c>
      <c r="K249" s="2" t="s">
        <v>1630</v>
      </c>
      <c r="L249" s="5">
        <v>-26.271977</v>
      </c>
      <c r="M249" s="5">
        <v>152.89911900000001</v>
      </c>
      <c r="N249" s="3"/>
      <c r="O249" s="3"/>
      <c r="P249" s="3"/>
      <c r="Q249" s="3"/>
      <c r="R249" s="3" t="s">
        <v>44</v>
      </c>
      <c r="S249" s="3" t="s">
        <v>44</v>
      </c>
      <c r="T249" s="3"/>
      <c r="U249" s="3"/>
      <c r="V249" s="3" t="s">
        <v>70</v>
      </c>
      <c r="W249" s="3" t="s">
        <v>44</v>
      </c>
      <c r="X249" s="6" t="s">
        <v>44</v>
      </c>
      <c r="Y249" s="7"/>
      <c r="Z249" s="7"/>
      <c r="AA249" s="3" t="s">
        <v>44</v>
      </c>
      <c r="AB249" s="3" t="s">
        <v>44</v>
      </c>
      <c r="AC249" s="8" t="s">
        <v>1631</v>
      </c>
      <c r="AD249" s="2" t="s">
        <v>63</v>
      </c>
      <c r="AE249" s="9" t="str">
        <f t="shared" si="6"/>
        <v>Open in Google Maps</v>
      </c>
    </row>
    <row r="250" spans="1:31" s="140" customFormat="1" ht="66" x14ac:dyDescent="0.3">
      <c r="A250" s="1">
        <f t="shared" si="7"/>
        <v>247</v>
      </c>
      <c r="B250" s="72" t="s">
        <v>1632</v>
      </c>
      <c r="C250" s="30" t="s">
        <v>1633</v>
      </c>
      <c r="D250" s="30" t="s">
        <v>1634</v>
      </c>
      <c r="E250" s="30" t="s">
        <v>35</v>
      </c>
      <c r="F250" s="13" t="s">
        <v>36</v>
      </c>
      <c r="G250" s="67">
        <v>46234</v>
      </c>
      <c r="H250" s="72" t="s">
        <v>181</v>
      </c>
      <c r="I250" s="72" t="s">
        <v>1635</v>
      </c>
      <c r="J250" s="72" t="s">
        <v>560</v>
      </c>
      <c r="K250" s="72" t="s">
        <v>1636</v>
      </c>
      <c r="L250" s="73">
        <v>-23.173549000000001</v>
      </c>
      <c r="M250" s="73">
        <v>148.15871300000001</v>
      </c>
      <c r="N250" s="30"/>
      <c r="O250" s="30"/>
      <c r="P250" s="30"/>
      <c r="Q250" s="13" t="s">
        <v>42</v>
      </c>
      <c r="R250" s="30" t="s">
        <v>44</v>
      </c>
      <c r="S250" s="30"/>
      <c r="T250" s="30"/>
      <c r="U250" s="30" t="s">
        <v>41</v>
      </c>
      <c r="V250" s="30" t="s">
        <v>43</v>
      </c>
      <c r="W250" s="30" t="s">
        <v>44</v>
      </c>
      <c r="X250" s="82" t="s">
        <v>44</v>
      </c>
      <c r="Y250" s="7"/>
      <c r="Z250" s="7"/>
      <c r="AA250" s="7"/>
      <c r="AB250" s="7"/>
      <c r="AC250" s="74" t="s">
        <v>255</v>
      </c>
      <c r="AD250" s="75" t="s">
        <v>113</v>
      </c>
      <c r="AE250" s="9" t="str">
        <f t="shared" si="6"/>
        <v>Open in Google Maps</v>
      </c>
    </row>
    <row r="251" spans="1:31" s="140" customFormat="1" ht="46.9" customHeight="1" x14ac:dyDescent="0.3">
      <c r="A251" s="1">
        <f t="shared" si="7"/>
        <v>248</v>
      </c>
      <c r="B251" s="2" t="s">
        <v>1637</v>
      </c>
      <c r="C251" s="3" t="s">
        <v>1638</v>
      </c>
      <c r="D251" s="3" t="s">
        <v>1639</v>
      </c>
      <c r="E251" s="3" t="s">
        <v>35</v>
      </c>
      <c r="F251" s="3" t="s">
        <v>36</v>
      </c>
      <c r="G251" s="4">
        <v>46647</v>
      </c>
      <c r="H251" s="2" t="s">
        <v>519</v>
      </c>
      <c r="I251" s="2" t="s">
        <v>1640</v>
      </c>
      <c r="J251" s="10" t="s">
        <v>521</v>
      </c>
      <c r="K251" s="2" t="s">
        <v>522</v>
      </c>
      <c r="L251" s="5">
        <v>-24.029</v>
      </c>
      <c r="M251" s="5">
        <v>151.37899999999999</v>
      </c>
      <c r="N251" s="3"/>
      <c r="O251" s="3" t="s">
        <v>41</v>
      </c>
      <c r="P251" s="3"/>
      <c r="Q251" s="3" t="s">
        <v>41</v>
      </c>
      <c r="R251" s="3"/>
      <c r="S251" s="3" t="s">
        <v>44</v>
      </c>
      <c r="T251" s="3" t="s">
        <v>44</v>
      </c>
      <c r="U251" s="3" t="s">
        <v>41</v>
      </c>
      <c r="V251" s="3" t="s">
        <v>149</v>
      </c>
      <c r="W251" s="3"/>
      <c r="X251" s="6"/>
      <c r="Y251" s="7"/>
      <c r="Z251" s="7"/>
      <c r="AA251" s="7"/>
      <c r="AB251" s="7"/>
      <c r="AC251" s="8" t="s">
        <v>1641</v>
      </c>
      <c r="AD251" s="2" t="s">
        <v>55</v>
      </c>
      <c r="AE251" s="9" t="str">
        <f t="shared" si="6"/>
        <v>Open in Google Maps</v>
      </c>
    </row>
    <row r="252" spans="1:31" s="140" customFormat="1" ht="21.6" customHeight="1" x14ac:dyDescent="0.3">
      <c r="A252" s="1">
        <f t="shared" si="7"/>
        <v>249</v>
      </c>
      <c r="B252" s="2" t="s">
        <v>1642</v>
      </c>
      <c r="C252" s="3" t="s">
        <v>1643</v>
      </c>
      <c r="D252" s="3" t="s">
        <v>1644</v>
      </c>
      <c r="E252" s="3" t="s">
        <v>35</v>
      </c>
      <c r="F252" s="3" t="s">
        <v>36</v>
      </c>
      <c r="G252" s="4">
        <v>46442</v>
      </c>
      <c r="H252" s="2" t="s">
        <v>311</v>
      </c>
      <c r="I252" s="2" t="s">
        <v>1645</v>
      </c>
      <c r="J252" s="2" t="s">
        <v>1181</v>
      </c>
      <c r="K252" s="2" t="s">
        <v>1182</v>
      </c>
      <c r="L252" s="5">
        <v>-17.732800000000001</v>
      </c>
      <c r="M252" s="5">
        <v>146.07589999999999</v>
      </c>
      <c r="N252" s="3"/>
      <c r="O252" s="3"/>
      <c r="P252" s="3"/>
      <c r="Q252" s="3"/>
      <c r="R252" s="3"/>
      <c r="S252" s="3" t="s">
        <v>44</v>
      </c>
      <c r="T252" s="3" t="s">
        <v>44</v>
      </c>
      <c r="U252" s="3"/>
      <c r="V252" s="3"/>
      <c r="W252" s="3"/>
      <c r="X252" s="6"/>
      <c r="Y252" s="7"/>
      <c r="Z252" s="7"/>
      <c r="AA252" s="40"/>
      <c r="AB252" s="7"/>
      <c r="AC252" s="11" t="s">
        <v>1646</v>
      </c>
      <c r="AD252" s="12" t="s">
        <v>55</v>
      </c>
      <c r="AE252" s="9" t="str">
        <f t="shared" si="6"/>
        <v>Open in Google Maps</v>
      </c>
    </row>
    <row r="253" spans="1:31" s="140" customFormat="1" ht="66" x14ac:dyDescent="0.3">
      <c r="A253" s="1">
        <f t="shared" si="7"/>
        <v>250</v>
      </c>
      <c r="B253" s="23" t="s">
        <v>1647</v>
      </c>
      <c r="C253" s="13" t="s">
        <v>1648</v>
      </c>
      <c r="D253" s="13" t="s">
        <v>1649</v>
      </c>
      <c r="E253" s="3" t="s">
        <v>35</v>
      </c>
      <c r="F253" s="13" t="s">
        <v>36</v>
      </c>
      <c r="G253" s="4">
        <v>46481</v>
      </c>
      <c r="H253" s="15" t="s">
        <v>683</v>
      </c>
      <c r="I253" s="28" t="s">
        <v>1650</v>
      </c>
      <c r="J253" s="28" t="s">
        <v>744</v>
      </c>
      <c r="K253" s="2" t="s">
        <v>745</v>
      </c>
      <c r="L253" s="73">
        <v>-22.182500000000001</v>
      </c>
      <c r="M253" s="73">
        <v>147.96520000000001</v>
      </c>
      <c r="N253" s="13"/>
      <c r="O253" s="13"/>
      <c r="P253" s="13"/>
      <c r="Q253" s="13" t="s">
        <v>42</v>
      </c>
      <c r="R253" s="13" t="s">
        <v>44</v>
      </c>
      <c r="S253" s="13"/>
      <c r="T253" s="13"/>
      <c r="U253" s="13"/>
      <c r="V253" s="13" t="s">
        <v>70</v>
      </c>
      <c r="W253" s="13"/>
      <c r="X253" s="26"/>
      <c r="Y253" s="7"/>
      <c r="Z253" s="7"/>
      <c r="AA253" s="40"/>
      <c r="AB253" s="7"/>
      <c r="AC253" s="27" t="s">
        <v>255</v>
      </c>
      <c r="AD253" s="28" t="s">
        <v>113</v>
      </c>
      <c r="AE253" s="9" t="str">
        <f t="shared" si="6"/>
        <v>Open in Google Maps</v>
      </c>
    </row>
    <row r="254" spans="1:31" s="140" customFormat="1" ht="37.9" customHeight="1" x14ac:dyDescent="0.3">
      <c r="A254" s="1">
        <f t="shared" si="7"/>
        <v>251</v>
      </c>
      <c r="B254" s="23" t="s">
        <v>1651</v>
      </c>
      <c r="C254" s="13" t="s">
        <v>1652</v>
      </c>
      <c r="D254" s="13" t="s">
        <v>1653</v>
      </c>
      <c r="E254" s="13" t="s">
        <v>35</v>
      </c>
      <c r="F254" s="13" t="s">
        <v>36</v>
      </c>
      <c r="G254" s="24">
        <v>46554</v>
      </c>
      <c r="H254" s="2" t="s">
        <v>1614</v>
      </c>
      <c r="I254" s="28" t="s">
        <v>1654</v>
      </c>
      <c r="J254" s="28" t="s">
        <v>205</v>
      </c>
      <c r="K254" s="2" t="s">
        <v>1655</v>
      </c>
      <c r="L254" s="73">
        <v>-17.043536</v>
      </c>
      <c r="M254" s="73">
        <v>141.378514</v>
      </c>
      <c r="N254" s="13"/>
      <c r="O254" s="13"/>
      <c r="P254" s="13"/>
      <c r="Q254" s="13"/>
      <c r="R254" s="13"/>
      <c r="S254" s="13" t="s">
        <v>44</v>
      </c>
      <c r="T254" s="13" t="s">
        <v>44</v>
      </c>
      <c r="U254" s="13"/>
      <c r="V254" s="13"/>
      <c r="W254" s="13"/>
      <c r="X254" s="26"/>
      <c r="Y254" s="7"/>
      <c r="Z254" s="13"/>
      <c r="AA254" s="7"/>
      <c r="AB254" s="7"/>
      <c r="AC254" s="27" t="s">
        <v>1656</v>
      </c>
      <c r="AD254" s="28" t="s">
        <v>55</v>
      </c>
      <c r="AE254" s="9" t="str">
        <f t="shared" si="6"/>
        <v>Open in Google Maps</v>
      </c>
    </row>
    <row r="255" spans="1:31" s="140" customFormat="1" ht="99" x14ac:dyDescent="0.3">
      <c r="A255" s="1">
        <f t="shared" si="7"/>
        <v>252</v>
      </c>
      <c r="B255" s="23" t="s">
        <v>1657</v>
      </c>
      <c r="C255" s="3" t="s">
        <v>1658</v>
      </c>
      <c r="D255" s="3" t="s">
        <v>1659</v>
      </c>
      <c r="E255" s="3" t="s">
        <v>35</v>
      </c>
      <c r="F255" s="3" t="s">
        <v>117</v>
      </c>
      <c r="G255" s="4">
        <v>46606</v>
      </c>
      <c r="H255" s="2" t="s">
        <v>398</v>
      </c>
      <c r="I255" s="2" t="s">
        <v>1660</v>
      </c>
      <c r="J255" s="2" t="s">
        <v>1661</v>
      </c>
      <c r="K255" s="2" t="s">
        <v>1662</v>
      </c>
      <c r="L255" s="5">
        <v>-17.637653</v>
      </c>
      <c r="M255" s="5">
        <v>145.10889</v>
      </c>
      <c r="N255" s="3"/>
      <c r="O255" s="3"/>
      <c r="P255" s="3"/>
      <c r="Q255" s="3"/>
      <c r="R255" s="3"/>
      <c r="S255" s="3"/>
      <c r="T255" s="3"/>
      <c r="U255" s="3"/>
      <c r="V255" s="3" t="s">
        <v>122</v>
      </c>
      <c r="W255" s="3"/>
      <c r="X255" s="6"/>
      <c r="Y255" s="7"/>
      <c r="Z255" s="7"/>
      <c r="AA255" s="7"/>
      <c r="AB255" s="7"/>
      <c r="AC255" s="11" t="s">
        <v>1663</v>
      </c>
      <c r="AD255" s="12" t="s">
        <v>1664</v>
      </c>
      <c r="AE255" s="9" t="str">
        <f t="shared" si="6"/>
        <v>Open in Google Maps</v>
      </c>
    </row>
    <row r="256" spans="1:31" s="141" customFormat="1" ht="66" x14ac:dyDescent="0.3">
      <c r="A256" s="1">
        <f t="shared" si="7"/>
        <v>253</v>
      </c>
      <c r="B256" s="2" t="s">
        <v>1665</v>
      </c>
      <c r="C256" s="3" t="s">
        <v>1666</v>
      </c>
      <c r="D256" s="3" t="s">
        <v>1667</v>
      </c>
      <c r="E256" s="3" t="s">
        <v>35</v>
      </c>
      <c r="F256" s="3" t="s">
        <v>36</v>
      </c>
      <c r="G256" s="4">
        <v>46654</v>
      </c>
      <c r="H256" s="2" t="s">
        <v>398</v>
      </c>
      <c r="I256" s="2" t="s">
        <v>1660</v>
      </c>
      <c r="J256" s="2" t="s">
        <v>1661</v>
      </c>
      <c r="K256" s="2" t="s">
        <v>1662</v>
      </c>
      <c r="L256" s="5">
        <v>-17.605582999999999</v>
      </c>
      <c r="M256" s="5">
        <v>145.10865000000001</v>
      </c>
      <c r="N256" s="14"/>
      <c r="O256" s="3"/>
      <c r="P256" s="3"/>
      <c r="Q256" s="3" t="s">
        <v>42</v>
      </c>
      <c r="R256" s="3"/>
      <c r="S256" s="3"/>
      <c r="T256" s="3"/>
      <c r="U256" s="3" t="s">
        <v>41</v>
      </c>
      <c r="V256" s="3" t="s">
        <v>70</v>
      </c>
      <c r="W256" s="3"/>
      <c r="X256" s="3"/>
      <c r="Y256" s="7"/>
      <c r="Z256" s="3"/>
      <c r="AA256" s="3"/>
      <c r="AB256" s="3"/>
      <c r="AC256" s="11" t="s">
        <v>1668</v>
      </c>
      <c r="AD256" s="12" t="s">
        <v>63</v>
      </c>
      <c r="AE256" s="9" t="str">
        <f t="shared" si="6"/>
        <v>Open in Google Maps</v>
      </c>
    </row>
    <row r="257" spans="1:31" s="140" customFormat="1" ht="24.6" customHeight="1" x14ac:dyDescent="0.3">
      <c r="A257" s="1">
        <f t="shared" si="7"/>
        <v>254</v>
      </c>
      <c r="B257" s="72" t="s">
        <v>1669</v>
      </c>
      <c r="C257" s="30" t="s">
        <v>1670</v>
      </c>
      <c r="D257" s="30" t="s">
        <v>1671</v>
      </c>
      <c r="E257" s="3" t="s">
        <v>35</v>
      </c>
      <c r="F257" s="3" t="s">
        <v>36</v>
      </c>
      <c r="G257" s="67">
        <v>46534</v>
      </c>
      <c r="H257" s="72" t="s">
        <v>364</v>
      </c>
      <c r="I257" s="72" t="s">
        <v>1672</v>
      </c>
      <c r="J257" s="72" t="s">
        <v>1673</v>
      </c>
      <c r="K257" s="72" t="s">
        <v>1672</v>
      </c>
      <c r="L257" s="73">
        <v>-27.073650000000001</v>
      </c>
      <c r="M257" s="73">
        <v>153.096</v>
      </c>
      <c r="N257" s="114"/>
      <c r="O257" s="30"/>
      <c r="P257" s="30"/>
      <c r="Q257" s="30" t="s">
        <v>41</v>
      </c>
      <c r="R257" s="30"/>
      <c r="S257" s="30" t="s">
        <v>44</v>
      </c>
      <c r="T257" s="30" t="s">
        <v>44</v>
      </c>
      <c r="U257" s="30" t="s">
        <v>41</v>
      </c>
      <c r="V257" s="30" t="s">
        <v>149</v>
      </c>
      <c r="W257" s="30"/>
      <c r="X257" s="82"/>
      <c r="Y257" s="7"/>
      <c r="Z257" s="7"/>
      <c r="AA257" s="7"/>
      <c r="AB257" s="29" t="s">
        <v>44</v>
      </c>
      <c r="AC257" s="74" t="s">
        <v>1674</v>
      </c>
      <c r="AD257" s="72" t="s">
        <v>55</v>
      </c>
      <c r="AE257" s="9" t="str">
        <f t="shared" si="6"/>
        <v>Open in Google Maps</v>
      </c>
    </row>
    <row r="258" spans="1:31" s="140" customFormat="1" ht="36.6" customHeight="1" x14ac:dyDescent="0.3">
      <c r="A258" s="1">
        <f t="shared" si="7"/>
        <v>255</v>
      </c>
      <c r="B258" s="15" t="s">
        <v>1675</v>
      </c>
      <c r="C258" s="16" t="s">
        <v>1676</v>
      </c>
      <c r="D258" s="16" t="s">
        <v>1677</v>
      </c>
      <c r="E258" s="16" t="s">
        <v>35</v>
      </c>
      <c r="F258" s="16" t="s">
        <v>36</v>
      </c>
      <c r="G258" s="17">
        <v>46271</v>
      </c>
      <c r="H258" s="15" t="s">
        <v>304</v>
      </c>
      <c r="I258" s="15" t="s">
        <v>1678</v>
      </c>
      <c r="J258" s="15" t="s">
        <v>1679</v>
      </c>
      <c r="K258" s="15" t="s">
        <v>1680</v>
      </c>
      <c r="L258" s="19">
        <v>-28.672609999999999</v>
      </c>
      <c r="M258" s="19">
        <v>151.98912000000001</v>
      </c>
      <c r="N258" s="16"/>
      <c r="O258" s="16" t="s">
        <v>41</v>
      </c>
      <c r="P258" s="16"/>
      <c r="Q258" s="16" t="s">
        <v>41</v>
      </c>
      <c r="R258" s="16"/>
      <c r="S258" s="16" t="s">
        <v>44</v>
      </c>
      <c r="T258" s="16" t="s">
        <v>44</v>
      </c>
      <c r="U258" s="16" t="s">
        <v>41</v>
      </c>
      <c r="V258" s="16" t="s">
        <v>149</v>
      </c>
      <c r="W258" s="16"/>
      <c r="X258" s="16"/>
      <c r="Y258" s="7"/>
      <c r="Z258" s="7"/>
      <c r="AA258" s="7"/>
      <c r="AB258" s="7"/>
      <c r="AC258" s="21" t="s">
        <v>1681</v>
      </c>
      <c r="AD258" s="22" t="s">
        <v>55</v>
      </c>
      <c r="AE258" s="9" t="str">
        <f t="shared" si="6"/>
        <v>Open in Google Maps</v>
      </c>
    </row>
    <row r="259" spans="1:31" s="140" customFormat="1" ht="66" x14ac:dyDescent="0.3">
      <c r="A259" s="1">
        <f t="shared" si="7"/>
        <v>256</v>
      </c>
      <c r="B259" s="15" t="s">
        <v>1682</v>
      </c>
      <c r="C259" s="16" t="s">
        <v>1683</v>
      </c>
      <c r="D259" s="16" t="s">
        <v>1684</v>
      </c>
      <c r="E259" s="16" t="s">
        <v>35</v>
      </c>
      <c r="F259" s="16" t="s">
        <v>36</v>
      </c>
      <c r="G259" s="24">
        <v>46758</v>
      </c>
      <c r="H259" s="15" t="s">
        <v>640</v>
      </c>
      <c r="I259" s="15" t="s">
        <v>1685</v>
      </c>
      <c r="J259" s="15" t="s">
        <v>552</v>
      </c>
      <c r="K259" s="15" t="s">
        <v>1686</v>
      </c>
      <c r="L259" s="19">
        <v>-23.526900000000001</v>
      </c>
      <c r="M259" s="19">
        <v>150.346</v>
      </c>
      <c r="N259" s="16"/>
      <c r="O259" s="16"/>
      <c r="P259" s="16"/>
      <c r="Q259" s="16" t="s">
        <v>42</v>
      </c>
      <c r="R259" s="16" t="s">
        <v>44</v>
      </c>
      <c r="S259" s="16" t="s">
        <v>44</v>
      </c>
      <c r="T259" s="16"/>
      <c r="U259" s="16" t="s">
        <v>41</v>
      </c>
      <c r="V259" s="16" t="s">
        <v>70</v>
      </c>
      <c r="W259" s="16" t="s">
        <v>44</v>
      </c>
      <c r="X259" s="20" t="s">
        <v>44</v>
      </c>
      <c r="Y259" s="7"/>
      <c r="Z259" s="7"/>
      <c r="AA259" s="16" t="s">
        <v>44</v>
      </c>
      <c r="AB259" s="16" t="s">
        <v>44</v>
      </c>
      <c r="AC259" s="21" t="s">
        <v>1687</v>
      </c>
      <c r="AD259" s="22" t="s">
        <v>63</v>
      </c>
      <c r="AE259" s="9" t="str">
        <f t="shared" si="6"/>
        <v>Open in Google Maps</v>
      </c>
    </row>
    <row r="260" spans="1:31" s="141" customFormat="1" ht="35.450000000000003" customHeight="1" x14ac:dyDescent="0.3">
      <c r="A260" s="1">
        <f t="shared" si="7"/>
        <v>257</v>
      </c>
      <c r="B260" s="2" t="s">
        <v>1688</v>
      </c>
      <c r="C260" s="3" t="s">
        <v>1689</v>
      </c>
      <c r="D260" s="3" t="s">
        <v>1690</v>
      </c>
      <c r="E260" s="3" t="s">
        <v>35</v>
      </c>
      <c r="F260" s="3" t="s">
        <v>36</v>
      </c>
      <c r="G260" s="4">
        <v>46296</v>
      </c>
      <c r="H260" s="2" t="s">
        <v>418</v>
      </c>
      <c r="I260" s="2" t="s">
        <v>1691</v>
      </c>
      <c r="J260" s="2" t="s">
        <v>1370</v>
      </c>
      <c r="K260" s="2" t="s">
        <v>1692</v>
      </c>
      <c r="L260" s="5">
        <v>-19.729676000000001</v>
      </c>
      <c r="M260" s="5">
        <v>147.32352499999999</v>
      </c>
      <c r="N260" s="3"/>
      <c r="O260" s="3" t="s">
        <v>41</v>
      </c>
      <c r="P260" s="3"/>
      <c r="Q260" s="3"/>
      <c r="R260" s="3"/>
      <c r="S260" s="3" t="s">
        <v>41</v>
      </c>
      <c r="T260" s="3" t="s">
        <v>41</v>
      </c>
      <c r="U260" s="3" t="s">
        <v>41</v>
      </c>
      <c r="V260" s="3"/>
      <c r="W260" s="3" t="s">
        <v>44</v>
      </c>
      <c r="X260" s="6" t="s">
        <v>44</v>
      </c>
      <c r="Y260" s="7"/>
      <c r="Z260" s="7"/>
      <c r="AA260" s="7"/>
      <c r="AB260" s="7"/>
      <c r="AC260" s="11" t="s">
        <v>1693</v>
      </c>
      <c r="AD260" s="12" t="s">
        <v>63</v>
      </c>
      <c r="AE260" s="9" t="str">
        <f t="shared" si="6"/>
        <v>Open in Google Maps</v>
      </c>
    </row>
    <row r="261" spans="1:31" s="141" customFormat="1" ht="66" x14ac:dyDescent="0.3">
      <c r="A261" s="1">
        <f t="shared" si="7"/>
        <v>258</v>
      </c>
      <c r="B261" s="23" t="s">
        <v>1694</v>
      </c>
      <c r="C261" s="13" t="s">
        <v>1695</v>
      </c>
      <c r="D261" s="13" t="s">
        <v>1696</v>
      </c>
      <c r="E261" s="13" t="s">
        <v>35</v>
      </c>
      <c r="F261" s="13" t="s">
        <v>36</v>
      </c>
      <c r="G261" s="24">
        <v>46079</v>
      </c>
      <c r="H261" s="23" t="s">
        <v>1697</v>
      </c>
      <c r="I261" s="23" t="s">
        <v>1698</v>
      </c>
      <c r="J261" s="23" t="s">
        <v>1151</v>
      </c>
      <c r="K261" s="23" t="s">
        <v>1152</v>
      </c>
      <c r="L261" s="73">
        <v>-24.400860000000002</v>
      </c>
      <c r="M261" s="73">
        <v>142.28713500000001</v>
      </c>
      <c r="N261" s="13"/>
      <c r="O261" s="115" t="s">
        <v>44</v>
      </c>
      <c r="P261" s="116"/>
      <c r="Q261" s="13" t="s">
        <v>42</v>
      </c>
      <c r="R261" s="13" t="s">
        <v>44</v>
      </c>
      <c r="S261" s="13"/>
      <c r="T261" s="13"/>
      <c r="U261" s="13"/>
      <c r="V261" s="13"/>
      <c r="W261" s="13"/>
      <c r="X261" s="26"/>
      <c r="Y261" s="7"/>
      <c r="Z261" s="7"/>
      <c r="AA261" s="13" t="s">
        <v>44</v>
      </c>
      <c r="AB261" s="13"/>
      <c r="AC261" s="27" t="s">
        <v>1917</v>
      </c>
      <c r="AD261" s="28" t="s">
        <v>140</v>
      </c>
      <c r="AE261" s="9" t="str">
        <f t="shared" ref="AE261:AE299" si="8">HYPERLINK("https://maps.google.com/?q="&amp;L261&amp;","&amp;M261,"Open in Google Maps")</f>
        <v>Open in Google Maps</v>
      </c>
    </row>
    <row r="262" spans="1:31" s="140" customFormat="1" ht="66" x14ac:dyDescent="0.3">
      <c r="A262" s="1">
        <f t="shared" ref="A262:A299" si="9">A261+1</f>
        <v>259</v>
      </c>
      <c r="B262" s="41" t="s">
        <v>1699</v>
      </c>
      <c r="C262" s="42" t="s">
        <v>1700</v>
      </c>
      <c r="D262" s="42" t="s">
        <v>1701</v>
      </c>
      <c r="E262" s="42" t="s">
        <v>35</v>
      </c>
      <c r="F262" s="16" t="s">
        <v>88</v>
      </c>
      <c r="G262" s="43">
        <v>46764</v>
      </c>
      <c r="H262" s="41" t="s">
        <v>581</v>
      </c>
      <c r="I262" s="41" t="s">
        <v>1702</v>
      </c>
      <c r="J262" s="15" t="s">
        <v>943</v>
      </c>
      <c r="K262" s="15" t="s">
        <v>1703</v>
      </c>
      <c r="L262" s="44">
        <v>-26.925256999999998</v>
      </c>
      <c r="M262" s="44">
        <v>152.96629799999999</v>
      </c>
      <c r="N262" s="42"/>
      <c r="O262" s="117"/>
      <c r="P262" s="117"/>
      <c r="Q262" s="55" t="s">
        <v>42</v>
      </c>
      <c r="R262" s="42" t="s">
        <v>44</v>
      </c>
      <c r="S262" s="42" t="s">
        <v>44</v>
      </c>
      <c r="T262" s="42"/>
      <c r="U262" s="42"/>
      <c r="V262" s="42" t="s">
        <v>43</v>
      </c>
      <c r="W262" s="42" t="s">
        <v>44</v>
      </c>
      <c r="X262" s="45" t="s">
        <v>44</v>
      </c>
      <c r="Y262" s="42" t="s">
        <v>44</v>
      </c>
      <c r="Z262" s="42" t="s">
        <v>44</v>
      </c>
      <c r="AA262" s="42" t="s">
        <v>44</v>
      </c>
      <c r="AB262" s="42" t="s">
        <v>44</v>
      </c>
      <c r="AC262" s="104" t="s">
        <v>852</v>
      </c>
      <c r="AD262" s="41" t="s">
        <v>63</v>
      </c>
      <c r="AE262" s="9" t="str">
        <f t="shared" si="8"/>
        <v>Open in Google Maps</v>
      </c>
    </row>
    <row r="263" spans="1:31" s="140" customFormat="1" ht="25.15" customHeight="1" x14ac:dyDescent="0.3">
      <c r="A263" s="1">
        <f t="shared" si="9"/>
        <v>260</v>
      </c>
      <c r="B263" s="2" t="s">
        <v>1704</v>
      </c>
      <c r="C263" s="3" t="s">
        <v>1705</v>
      </c>
      <c r="D263" s="3" t="s">
        <v>1706</v>
      </c>
      <c r="E263" s="3" t="s">
        <v>35</v>
      </c>
      <c r="F263" s="3" t="s">
        <v>36</v>
      </c>
      <c r="G263" s="4">
        <v>46648</v>
      </c>
      <c r="H263" s="2" t="s">
        <v>333</v>
      </c>
      <c r="I263" s="2" t="s">
        <v>1707</v>
      </c>
      <c r="J263" s="10" t="s">
        <v>1704</v>
      </c>
      <c r="K263" s="2" t="s">
        <v>1707</v>
      </c>
      <c r="L263" s="5">
        <v>-25.007100000000001</v>
      </c>
      <c r="M263" s="5">
        <v>152.49904000000001</v>
      </c>
      <c r="N263" s="3"/>
      <c r="O263" s="3"/>
      <c r="P263" s="3"/>
      <c r="Q263" s="3" t="s">
        <v>41</v>
      </c>
      <c r="R263" s="3"/>
      <c r="S263" s="3" t="s">
        <v>44</v>
      </c>
      <c r="T263" s="3" t="s">
        <v>44</v>
      </c>
      <c r="U263" s="3" t="s">
        <v>41</v>
      </c>
      <c r="V263" s="3" t="s">
        <v>149</v>
      </c>
      <c r="W263" s="3"/>
      <c r="X263" s="6"/>
      <c r="Y263" s="7"/>
      <c r="Z263" s="7"/>
      <c r="AA263" s="7"/>
      <c r="AB263" s="7"/>
      <c r="AC263" s="8" t="s">
        <v>1708</v>
      </c>
      <c r="AD263" s="2" t="s">
        <v>55</v>
      </c>
      <c r="AE263" s="9" t="str">
        <f t="shared" si="8"/>
        <v>Open in Google Maps</v>
      </c>
    </row>
    <row r="264" spans="1:31" s="141" customFormat="1" ht="66" x14ac:dyDescent="0.3">
      <c r="A264" s="1">
        <f t="shared" si="9"/>
        <v>261</v>
      </c>
      <c r="B264" s="2" t="s">
        <v>1709</v>
      </c>
      <c r="C264" s="3" t="s">
        <v>1710</v>
      </c>
      <c r="D264" s="3" t="s">
        <v>1711</v>
      </c>
      <c r="E264" s="3" t="s">
        <v>35</v>
      </c>
      <c r="F264" s="3" t="s">
        <v>36</v>
      </c>
      <c r="G264" s="4">
        <v>46519</v>
      </c>
      <c r="H264" s="2" t="s">
        <v>188</v>
      </c>
      <c r="I264" s="2" t="s">
        <v>1712</v>
      </c>
      <c r="J264" s="2" t="s">
        <v>1713</v>
      </c>
      <c r="K264" s="2" t="s">
        <v>1714</v>
      </c>
      <c r="L264" s="5">
        <v>-25.316136</v>
      </c>
      <c r="M264" s="5">
        <v>152.73016200000001</v>
      </c>
      <c r="N264" s="3"/>
      <c r="O264" s="3" t="s">
        <v>41</v>
      </c>
      <c r="P264" s="3"/>
      <c r="Q264" s="3"/>
      <c r="R264" s="3" t="s">
        <v>44</v>
      </c>
      <c r="S264" s="3" t="s">
        <v>41</v>
      </c>
      <c r="T264" s="3" t="s">
        <v>41</v>
      </c>
      <c r="U264" s="3" t="s">
        <v>41</v>
      </c>
      <c r="V264" s="3" t="s">
        <v>1715</v>
      </c>
      <c r="W264" s="3"/>
      <c r="X264" s="6"/>
      <c r="Y264" s="40"/>
      <c r="Z264" s="7"/>
      <c r="AA264" s="29" t="s">
        <v>44</v>
      </c>
      <c r="AB264" s="7"/>
      <c r="AC264" s="11" t="s">
        <v>165</v>
      </c>
      <c r="AD264" s="12" t="s">
        <v>113</v>
      </c>
      <c r="AE264" s="9" t="str">
        <f t="shared" si="8"/>
        <v>Open in Google Maps</v>
      </c>
    </row>
    <row r="265" spans="1:31" s="140" customFormat="1" ht="22.15" customHeight="1" x14ac:dyDescent="0.3">
      <c r="A265" s="1">
        <f t="shared" si="9"/>
        <v>262</v>
      </c>
      <c r="B265" s="15" t="s">
        <v>1716</v>
      </c>
      <c r="C265" s="16" t="s">
        <v>1717</v>
      </c>
      <c r="D265" s="16" t="s">
        <v>941</v>
      </c>
      <c r="E265" s="16" t="s">
        <v>35</v>
      </c>
      <c r="F265" s="16" t="s">
        <v>36</v>
      </c>
      <c r="G265" s="17">
        <v>46537</v>
      </c>
      <c r="H265" s="64" t="s">
        <v>227</v>
      </c>
      <c r="I265" s="15" t="s">
        <v>1718</v>
      </c>
      <c r="J265" s="18" t="s">
        <v>1719</v>
      </c>
      <c r="K265" s="15" t="s">
        <v>1720</v>
      </c>
      <c r="L265" s="19">
        <v>-17.0641</v>
      </c>
      <c r="M265" s="19">
        <v>145.37350000000001</v>
      </c>
      <c r="N265" s="16"/>
      <c r="O265" s="16" t="s">
        <v>41</v>
      </c>
      <c r="P265" s="16"/>
      <c r="Q265" s="16" t="s">
        <v>41</v>
      </c>
      <c r="R265" s="16"/>
      <c r="S265" s="16" t="s">
        <v>44</v>
      </c>
      <c r="T265" s="16" t="s">
        <v>44</v>
      </c>
      <c r="U265" s="16" t="s">
        <v>41</v>
      </c>
      <c r="V265" s="16" t="s">
        <v>149</v>
      </c>
      <c r="W265" s="16"/>
      <c r="X265" s="20"/>
      <c r="Y265" s="7"/>
      <c r="Z265" s="7"/>
      <c r="AA265" s="7"/>
      <c r="AB265" s="7"/>
      <c r="AC265" s="65" t="s">
        <v>878</v>
      </c>
      <c r="AD265" s="15" t="s">
        <v>55</v>
      </c>
      <c r="AE265" s="9" t="str">
        <f t="shared" si="8"/>
        <v>Open in Google Maps</v>
      </c>
    </row>
    <row r="266" spans="1:31" s="140" customFormat="1" ht="66" x14ac:dyDescent="0.3">
      <c r="A266" s="1">
        <f t="shared" si="9"/>
        <v>263</v>
      </c>
      <c r="B266" s="2" t="s">
        <v>1721</v>
      </c>
      <c r="C266" s="3" t="s">
        <v>1722</v>
      </c>
      <c r="D266" s="3" t="s">
        <v>1723</v>
      </c>
      <c r="E266" s="3" t="s">
        <v>35</v>
      </c>
      <c r="F266" s="3" t="s">
        <v>36</v>
      </c>
      <c r="G266" s="4">
        <v>46654</v>
      </c>
      <c r="H266" s="2" t="s">
        <v>1724</v>
      </c>
      <c r="I266" s="2" t="s">
        <v>1725</v>
      </c>
      <c r="J266" s="2" t="s">
        <v>1220</v>
      </c>
      <c r="K266" s="2" t="s">
        <v>1221</v>
      </c>
      <c r="L266" s="5">
        <v>-23.159137999999999</v>
      </c>
      <c r="M266" s="5">
        <v>150.44271000000001</v>
      </c>
      <c r="N266" s="3"/>
      <c r="O266" s="3"/>
      <c r="P266" s="3"/>
      <c r="Q266" s="3" t="s">
        <v>42</v>
      </c>
      <c r="R266" s="3" t="s">
        <v>44</v>
      </c>
      <c r="S266" s="3"/>
      <c r="T266" s="3" t="s">
        <v>41</v>
      </c>
      <c r="U266" s="3"/>
      <c r="V266" s="3" t="s">
        <v>43</v>
      </c>
      <c r="W266" s="3" t="s">
        <v>44</v>
      </c>
      <c r="X266" s="6" t="s">
        <v>44</v>
      </c>
      <c r="Y266" s="3"/>
      <c r="Z266" s="7"/>
      <c r="AA266" s="7"/>
      <c r="AB266" s="7"/>
      <c r="AC266" s="8" t="s">
        <v>1726</v>
      </c>
      <c r="AD266" s="2" t="s">
        <v>247</v>
      </c>
      <c r="AE266" s="9" t="str">
        <f t="shared" si="8"/>
        <v>Open in Google Maps</v>
      </c>
    </row>
    <row r="267" spans="1:31" s="141" customFormat="1" ht="66" x14ac:dyDescent="0.3">
      <c r="A267" s="1">
        <f t="shared" si="9"/>
        <v>264</v>
      </c>
      <c r="B267" s="2" t="s">
        <v>1727</v>
      </c>
      <c r="C267" s="3" t="s">
        <v>1728</v>
      </c>
      <c r="D267" s="3" t="s">
        <v>1729</v>
      </c>
      <c r="E267" s="3" t="s">
        <v>35</v>
      </c>
      <c r="F267" s="3" t="s">
        <v>88</v>
      </c>
      <c r="G267" s="4">
        <v>46082</v>
      </c>
      <c r="H267" s="2" t="s">
        <v>418</v>
      </c>
      <c r="I267" s="2" t="s">
        <v>1730</v>
      </c>
      <c r="J267" s="2" t="s">
        <v>1370</v>
      </c>
      <c r="K267" s="2" t="s">
        <v>1692</v>
      </c>
      <c r="L267" s="5">
        <v>-19.70082</v>
      </c>
      <c r="M267" s="5">
        <v>147.28625</v>
      </c>
      <c r="N267" s="3"/>
      <c r="O267" s="3" t="s">
        <v>41</v>
      </c>
      <c r="P267" s="3"/>
      <c r="Q267" s="3" t="s">
        <v>42</v>
      </c>
      <c r="R267" s="3" t="s">
        <v>44</v>
      </c>
      <c r="S267" s="3"/>
      <c r="T267" s="3" t="s">
        <v>41</v>
      </c>
      <c r="U267" s="3" t="s">
        <v>41</v>
      </c>
      <c r="V267" s="3" t="s">
        <v>70</v>
      </c>
      <c r="W267" s="3" t="s">
        <v>44</v>
      </c>
      <c r="X267" s="6" t="s">
        <v>44</v>
      </c>
      <c r="Y267" s="40"/>
      <c r="Z267" s="40"/>
      <c r="AA267" s="6" t="s">
        <v>44</v>
      </c>
      <c r="AB267" s="7"/>
      <c r="AC267" s="12" t="s">
        <v>1731</v>
      </c>
      <c r="AD267" s="12" t="s">
        <v>209</v>
      </c>
      <c r="AE267" s="9" t="str">
        <f t="shared" si="8"/>
        <v>Open in Google Maps</v>
      </c>
    </row>
    <row r="268" spans="1:31" s="140" customFormat="1" ht="99" x14ac:dyDescent="0.3">
      <c r="A268" s="1">
        <f t="shared" si="9"/>
        <v>265</v>
      </c>
      <c r="B268" s="72" t="s">
        <v>1732</v>
      </c>
      <c r="C268" s="30" t="s">
        <v>1733</v>
      </c>
      <c r="D268" s="30" t="s">
        <v>1734</v>
      </c>
      <c r="E268" s="30" t="s">
        <v>35</v>
      </c>
      <c r="F268" s="13" t="s">
        <v>1187</v>
      </c>
      <c r="G268" s="67">
        <v>46694</v>
      </c>
      <c r="H268" s="72" t="s">
        <v>550</v>
      </c>
      <c r="I268" s="72" t="s">
        <v>1735</v>
      </c>
      <c r="J268" s="72" t="s">
        <v>1736</v>
      </c>
      <c r="K268" s="72" t="s">
        <v>1737</v>
      </c>
      <c r="L268" s="73">
        <v>24.873999999999999</v>
      </c>
      <c r="M268" s="73">
        <v>150.19</v>
      </c>
      <c r="N268" s="30"/>
      <c r="O268" s="30"/>
      <c r="P268" s="30"/>
      <c r="Q268" s="30"/>
      <c r="R268" s="30"/>
      <c r="S268" s="30"/>
      <c r="T268" s="30"/>
      <c r="U268" s="30"/>
      <c r="V268" s="30" t="s">
        <v>122</v>
      </c>
      <c r="W268" s="30"/>
      <c r="X268" s="82"/>
      <c r="Y268" s="40"/>
      <c r="Z268" s="40"/>
      <c r="AA268" s="40"/>
      <c r="AB268" s="7"/>
      <c r="AC268" s="74" t="s">
        <v>554</v>
      </c>
      <c r="AD268" s="12" t="s">
        <v>63</v>
      </c>
      <c r="AE268" s="9" t="str">
        <f t="shared" si="8"/>
        <v>Open in Google Maps</v>
      </c>
    </row>
    <row r="269" spans="1:31" s="140" customFormat="1" ht="37.9" customHeight="1" x14ac:dyDescent="0.3">
      <c r="A269" s="1">
        <f t="shared" si="9"/>
        <v>266</v>
      </c>
      <c r="B269" s="2" t="s">
        <v>1738</v>
      </c>
      <c r="C269" s="3" t="s">
        <v>1739</v>
      </c>
      <c r="D269" s="3" t="s">
        <v>1740</v>
      </c>
      <c r="E269" s="3" t="s">
        <v>35</v>
      </c>
      <c r="F269" s="3" t="s">
        <v>36</v>
      </c>
      <c r="G269" s="4">
        <v>46760</v>
      </c>
      <c r="H269" s="2" t="s">
        <v>640</v>
      </c>
      <c r="I269" s="2" t="s">
        <v>1741</v>
      </c>
      <c r="J269" s="2" t="s">
        <v>183</v>
      </c>
      <c r="K269" s="2" t="s">
        <v>1742</v>
      </c>
      <c r="L269" s="5">
        <v>-23.571522999999999</v>
      </c>
      <c r="M269" s="5">
        <v>150.3595</v>
      </c>
      <c r="N269" s="3"/>
      <c r="O269" s="3"/>
      <c r="P269" s="3"/>
      <c r="Q269" s="3"/>
      <c r="R269" s="3"/>
      <c r="S269" s="3"/>
      <c r="T269" s="3"/>
      <c r="U269" s="3"/>
      <c r="V269" s="3" t="s">
        <v>70</v>
      </c>
      <c r="W269" s="3"/>
      <c r="X269" s="6"/>
      <c r="Y269" s="7"/>
      <c r="Z269" s="7"/>
      <c r="AA269" s="7"/>
      <c r="AB269" s="7"/>
      <c r="AC269" s="8" t="s">
        <v>1743</v>
      </c>
      <c r="AD269" s="2" t="s">
        <v>113</v>
      </c>
      <c r="AE269" s="9" t="str">
        <f t="shared" si="8"/>
        <v>Open in Google Maps</v>
      </c>
    </row>
    <row r="270" spans="1:31" s="140" customFormat="1" ht="33" x14ac:dyDescent="0.3">
      <c r="A270" s="1">
        <f t="shared" si="9"/>
        <v>267</v>
      </c>
      <c r="B270" s="2" t="s">
        <v>1744</v>
      </c>
      <c r="C270" s="3" t="s">
        <v>1745</v>
      </c>
      <c r="D270" s="3" t="s">
        <v>1746</v>
      </c>
      <c r="E270" s="3" t="s">
        <v>35</v>
      </c>
      <c r="F270" s="3" t="s">
        <v>36</v>
      </c>
      <c r="G270" s="4">
        <v>46733</v>
      </c>
      <c r="H270" s="2" t="s">
        <v>227</v>
      </c>
      <c r="I270" s="2" t="s">
        <v>1747</v>
      </c>
      <c r="J270" s="2" t="s">
        <v>737</v>
      </c>
      <c r="K270" s="2" t="s">
        <v>738</v>
      </c>
      <c r="L270" s="5">
        <v>-17.088249000000001</v>
      </c>
      <c r="M270" s="5">
        <v>145.48325600000001</v>
      </c>
      <c r="N270" s="3"/>
      <c r="O270" s="3"/>
      <c r="P270" s="3"/>
      <c r="Q270" s="3" t="s">
        <v>687</v>
      </c>
      <c r="R270" s="3"/>
      <c r="S270" s="3"/>
      <c r="T270" s="3"/>
      <c r="U270" s="3"/>
      <c r="V270" s="3" t="s">
        <v>70</v>
      </c>
      <c r="W270" s="3" t="s">
        <v>44</v>
      </c>
      <c r="X270" s="6" t="s">
        <v>44</v>
      </c>
      <c r="Y270" s="7"/>
      <c r="Z270" s="7"/>
      <c r="AA270" s="7"/>
      <c r="AB270" s="7"/>
      <c r="AC270" s="11" t="s">
        <v>1748</v>
      </c>
      <c r="AD270" s="12" t="s">
        <v>209</v>
      </c>
      <c r="AE270" s="9" t="str">
        <f t="shared" si="8"/>
        <v>Open in Google Maps</v>
      </c>
    </row>
    <row r="271" spans="1:31" s="140" customFormat="1" ht="66" x14ac:dyDescent="0.3">
      <c r="A271" s="1">
        <f t="shared" si="9"/>
        <v>268</v>
      </c>
      <c r="B271" s="23" t="s">
        <v>1749</v>
      </c>
      <c r="C271" s="13" t="s">
        <v>1750</v>
      </c>
      <c r="D271" s="13" t="s">
        <v>1751</v>
      </c>
      <c r="E271" s="13" t="s">
        <v>35</v>
      </c>
      <c r="F271" s="13" t="s">
        <v>36</v>
      </c>
      <c r="G271" s="24">
        <v>46653</v>
      </c>
      <c r="H271" s="28" t="s">
        <v>227</v>
      </c>
      <c r="I271" s="28" t="s">
        <v>1752</v>
      </c>
      <c r="J271" s="28" t="s">
        <v>1753</v>
      </c>
      <c r="K271" s="28" t="s">
        <v>1754</v>
      </c>
      <c r="L271" s="5">
        <v>-16.853604000000001</v>
      </c>
      <c r="M271" s="5">
        <v>145.59517700000001</v>
      </c>
      <c r="N271" s="13"/>
      <c r="O271" s="13"/>
      <c r="P271" s="13"/>
      <c r="Q271" s="13" t="s">
        <v>42</v>
      </c>
      <c r="R271" s="13" t="s">
        <v>44</v>
      </c>
      <c r="S271" s="13"/>
      <c r="T271" s="13"/>
      <c r="U271" s="13"/>
      <c r="V271" s="13" t="s">
        <v>70</v>
      </c>
      <c r="W271" s="13" t="s">
        <v>44</v>
      </c>
      <c r="X271" s="26" t="s">
        <v>44</v>
      </c>
      <c r="Y271" s="7"/>
      <c r="Z271" s="13"/>
      <c r="AA271" s="13"/>
      <c r="AB271" s="13"/>
      <c r="AC271" s="27" t="s">
        <v>1755</v>
      </c>
      <c r="AD271" s="28" t="s">
        <v>247</v>
      </c>
      <c r="AE271" s="9" t="str">
        <f t="shared" si="8"/>
        <v>Open in Google Maps</v>
      </c>
    </row>
    <row r="272" spans="1:31" s="141" customFormat="1" ht="35.450000000000003" customHeight="1" x14ac:dyDescent="0.3">
      <c r="A272" s="1">
        <f t="shared" si="9"/>
        <v>269</v>
      </c>
      <c r="B272" s="2" t="s">
        <v>1756</v>
      </c>
      <c r="C272" s="3" t="s">
        <v>1757</v>
      </c>
      <c r="D272" s="3" t="s">
        <v>1758</v>
      </c>
      <c r="E272" s="3" t="s">
        <v>35</v>
      </c>
      <c r="F272" s="3" t="s">
        <v>36</v>
      </c>
      <c r="G272" s="4">
        <v>46232</v>
      </c>
      <c r="H272" s="2" t="s">
        <v>50</v>
      </c>
      <c r="I272" s="2" t="s">
        <v>1759</v>
      </c>
      <c r="J272" s="2" t="s">
        <v>1760</v>
      </c>
      <c r="K272" s="2" t="s">
        <v>1759</v>
      </c>
      <c r="L272" s="5">
        <v>-19.469483</v>
      </c>
      <c r="M272" s="5">
        <v>146.72370900000001</v>
      </c>
      <c r="N272" s="3"/>
      <c r="O272" s="3"/>
      <c r="P272" s="3"/>
      <c r="Q272" s="3"/>
      <c r="R272" s="3"/>
      <c r="S272" s="3" t="s">
        <v>44</v>
      </c>
      <c r="T272" s="3" t="s">
        <v>44</v>
      </c>
      <c r="U272" s="3"/>
      <c r="V272" s="3"/>
      <c r="W272" s="3"/>
      <c r="X272" s="6"/>
      <c r="Y272" s="7"/>
      <c r="Z272" s="7"/>
      <c r="AA272" s="7"/>
      <c r="AB272" s="7"/>
      <c r="AC272" s="11" t="s">
        <v>1761</v>
      </c>
      <c r="AD272" s="12" t="s">
        <v>55</v>
      </c>
      <c r="AE272" s="9" t="str">
        <f t="shared" si="8"/>
        <v>Open in Google Maps</v>
      </c>
    </row>
    <row r="273" spans="1:31" s="140" customFormat="1" ht="35.450000000000003" customHeight="1" x14ac:dyDescent="0.3">
      <c r="A273" s="1">
        <f t="shared" si="9"/>
        <v>270</v>
      </c>
      <c r="B273" s="2" t="s">
        <v>1762</v>
      </c>
      <c r="C273" s="3" t="s">
        <v>1763</v>
      </c>
      <c r="D273" s="3" t="s">
        <v>1764</v>
      </c>
      <c r="E273" s="3" t="s">
        <v>35</v>
      </c>
      <c r="F273" s="3" t="s">
        <v>36</v>
      </c>
      <c r="G273" s="4">
        <v>46081</v>
      </c>
      <c r="H273" s="2" t="s">
        <v>1471</v>
      </c>
      <c r="I273" s="2" t="s">
        <v>1765</v>
      </c>
      <c r="J273" s="2" t="s">
        <v>1760</v>
      </c>
      <c r="K273" s="2" t="s">
        <v>1766</v>
      </c>
      <c r="L273" s="5">
        <v>-19.986599999999999</v>
      </c>
      <c r="M273" s="5">
        <v>146.43100999999999</v>
      </c>
      <c r="N273" s="3"/>
      <c r="O273" s="3"/>
      <c r="P273" s="3"/>
      <c r="Q273" s="3"/>
      <c r="R273" s="3"/>
      <c r="S273" s="3" t="s">
        <v>44</v>
      </c>
      <c r="T273" s="3" t="s">
        <v>44</v>
      </c>
      <c r="U273" s="3"/>
      <c r="V273" s="3"/>
      <c r="W273" s="3"/>
      <c r="X273" s="6"/>
      <c r="Y273" s="40"/>
      <c r="Z273" s="7"/>
      <c r="AA273" s="7"/>
      <c r="AB273" s="7"/>
      <c r="AC273" s="11" t="s">
        <v>1767</v>
      </c>
      <c r="AD273" s="12" t="s">
        <v>55</v>
      </c>
      <c r="AE273" s="9" t="str">
        <f t="shared" si="8"/>
        <v>Open in Google Maps</v>
      </c>
    </row>
    <row r="274" spans="1:31" s="140" customFormat="1" ht="82.5" x14ac:dyDescent="0.3">
      <c r="A274" s="1">
        <f t="shared" si="9"/>
        <v>271</v>
      </c>
      <c r="B274" s="2" t="s">
        <v>1768</v>
      </c>
      <c r="C274" s="3" t="s">
        <v>1769</v>
      </c>
      <c r="D274" s="3" t="s">
        <v>1770</v>
      </c>
      <c r="E274" s="3" t="s">
        <v>35</v>
      </c>
      <c r="F274" s="3" t="s">
        <v>36</v>
      </c>
      <c r="G274" s="24">
        <v>46276</v>
      </c>
      <c r="H274" s="28" t="s">
        <v>67</v>
      </c>
      <c r="I274" s="2" t="s">
        <v>1771</v>
      </c>
      <c r="J274" s="2" t="s">
        <v>110</v>
      </c>
      <c r="K274" s="2" t="s">
        <v>1772</v>
      </c>
      <c r="L274" s="25">
        <v>-26.338836400000002</v>
      </c>
      <c r="M274" s="25">
        <v>152.72275500000001</v>
      </c>
      <c r="N274" s="29"/>
      <c r="O274" s="29"/>
      <c r="P274" s="29"/>
      <c r="Q274" s="30"/>
      <c r="R274" s="29"/>
      <c r="S274" s="29"/>
      <c r="T274" s="29"/>
      <c r="U274" s="29"/>
      <c r="V274" s="30" t="s">
        <v>1773</v>
      </c>
      <c r="W274" s="29"/>
      <c r="X274" s="31"/>
      <c r="Y274" s="29"/>
      <c r="Z274" s="29"/>
      <c r="AA274" s="29"/>
      <c r="AB274" s="29"/>
      <c r="AC274" s="27" t="s">
        <v>1774</v>
      </c>
      <c r="AD274" s="90" t="s">
        <v>247</v>
      </c>
      <c r="AE274" s="9" t="str">
        <f t="shared" si="8"/>
        <v>Open in Google Maps</v>
      </c>
    </row>
    <row r="275" spans="1:31" s="140" customFormat="1" ht="34.9" customHeight="1" x14ac:dyDescent="0.3">
      <c r="A275" s="1">
        <f t="shared" si="9"/>
        <v>272</v>
      </c>
      <c r="B275" s="2" t="s">
        <v>1775</v>
      </c>
      <c r="C275" s="3" t="s">
        <v>1776</v>
      </c>
      <c r="D275" s="3" t="s">
        <v>1777</v>
      </c>
      <c r="E275" s="3" t="s">
        <v>35</v>
      </c>
      <c r="F275" s="16" t="s">
        <v>36</v>
      </c>
      <c r="G275" s="4">
        <v>46401</v>
      </c>
      <c r="H275" s="15" t="s">
        <v>1098</v>
      </c>
      <c r="I275" s="2" t="s">
        <v>1778</v>
      </c>
      <c r="J275" s="2" t="s">
        <v>770</v>
      </c>
      <c r="K275" s="2" t="s">
        <v>1778</v>
      </c>
      <c r="L275" s="5">
        <v>-28.261600000000001</v>
      </c>
      <c r="M275" s="5">
        <v>153.547</v>
      </c>
      <c r="N275" s="3"/>
      <c r="O275" s="3" t="s">
        <v>41</v>
      </c>
      <c r="P275" s="3"/>
      <c r="Q275" s="3" t="s">
        <v>41</v>
      </c>
      <c r="R275" s="3"/>
      <c r="S275" s="3" t="s">
        <v>44</v>
      </c>
      <c r="T275" s="3" t="s">
        <v>44</v>
      </c>
      <c r="U275" s="3" t="s">
        <v>41</v>
      </c>
      <c r="V275" s="3" t="s">
        <v>149</v>
      </c>
      <c r="W275" s="3"/>
      <c r="X275" s="6"/>
      <c r="Y275" s="40"/>
      <c r="Z275" s="7"/>
      <c r="AA275" s="7"/>
      <c r="AB275" s="7"/>
      <c r="AC275" s="74" t="s">
        <v>1779</v>
      </c>
      <c r="AD275" s="2" t="s">
        <v>55</v>
      </c>
      <c r="AE275" s="9" t="str">
        <f t="shared" si="8"/>
        <v>Open in Google Maps</v>
      </c>
    </row>
    <row r="276" spans="1:31" s="140" customFormat="1" ht="115.5" x14ac:dyDescent="0.3">
      <c r="A276" s="1">
        <f t="shared" si="9"/>
        <v>273</v>
      </c>
      <c r="B276" s="2" t="s">
        <v>1780</v>
      </c>
      <c r="C276" s="3" t="s">
        <v>1781</v>
      </c>
      <c r="D276" s="3" t="s">
        <v>1782</v>
      </c>
      <c r="E276" s="3" t="s">
        <v>35</v>
      </c>
      <c r="F276" s="3" t="s">
        <v>36</v>
      </c>
      <c r="G276" s="4">
        <v>46274</v>
      </c>
      <c r="H276" s="2" t="s">
        <v>37</v>
      </c>
      <c r="I276" s="2" t="s">
        <v>1783</v>
      </c>
      <c r="J276" s="2" t="s">
        <v>39</v>
      </c>
      <c r="K276" s="2" t="s">
        <v>40</v>
      </c>
      <c r="L276" s="5">
        <v>-20.495999999999999</v>
      </c>
      <c r="M276" s="5">
        <v>147.83099999999999</v>
      </c>
      <c r="N276" s="3"/>
      <c r="O276" s="3" t="s">
        <v>41</v>
      </c>
      <c r="P276" s="3"/>
      <c r="Q276" s="3"/>
      <c r="R276" s="3"/>
      <c r="S276" s="3" t="s">
        <v>41</v>
      </c>
      <c r="T276" s="3" t="s">
        <v>41</v>
      </c>
      <c r="U276" s="3" t="s">
        <v>41</v>
      </c>
      <c r="V276" s="3" t="s">
        <v>1784</v>
      </c>
      <c r="W276" s="3"/>
      <c r="X276" s="6"/>
      <c r="Y276" s="7"/>
      <c r="Z276" s="7"/>
      <c r="AA276" s="7"/>
      <c r="AB276" s="7"/>
      <c r="AC276" s="11" t="s">
        <v>1785</v>
      </c>
      <c r="AD276" s="2" t="s">
        <v>63</v>
      </c>
      <c r="AE276" s="9" t="str">
        <f t="shared" si="8"/>
        <v>Open in Google Maps</v>
      </c>
    </row>
    <row r="277" spans="1:31" s="140" customFormat="1" ht="66" x14ac:dyDescent="0.3">
      <c r="A277" s="1">
        <f t="shared" si="9"/>
        <v>274</v>
      </c>
      <c r="B277" s="2" t="s">
        <v>1786</v>
      </c>
      <c r="C277" s="3" t="s">
        <v>1787</v>
      </c>
      <c r="D277" s="3" t="s">
        <v>1788</v>
      </c>
      <c r="E277" s="3" t="s">
        <v>35</v>
      </c>
      <c r="F277" s="3" t="s">
        <v>36</v>
      </c>
      <c r="G277" s="4">
        <v>46297</v>
      </c>
      <c r="H277" s="15" t="s">
        <v>683</v>
      </c>
      <c r="I277" s="2" t="s">
        <v>1789</v>
      </c>
      <c r="J277" s="2" t="s">
        <v>1144</v>
      </c>
      <c r="K277" s="2" t="s">
        <v>1790</v>
      </c>
      <c r="L277" s="5">
        <v>-21.753361000000002</v>
      </c>
      <c r="M277" s="5">
        <v>148.77427299999999</v>
      </c>
      <c r="N277" s="3"/>
      <c r="O277" s="3" t="s">
        <v>41</v>
      </c>
      <c r="P277" s="3"/>
      <c r="Q277" s="3" t="s">
        <v>42</v>
      </c>
      <c r="R277" s="3" t="s">
        <v>44</v>
      </c>
      <c r="S277" s="3" t="s">
        <v>44</v>
      </c>
      <c r="T277" s="3"/>
      <c r="U277" s="3" t="s">
        <v>41</v>
      </c>
      <c r="V277" s="3" t="s">
        <v>70</v>
      </c>
      <c r="W277" s="3" t="s">
        <v>44</v>
      </c>
      <c r="X277" s="6" t="s">
        <v>44</v>
      </c>
      <c r="Y277" s="3" t="s">
        <v>44</v>
      </c>
      <c r="Z277" s="3" t="s">
        <v>44</v>
      </c>
      <c r="AA277" s="7"/>
      <c r="AB277" s="7"/>
      <c r="AC277" s="11" t="s">
        <v>1062</v>
      </c>
      <c r="AD277" s="12" t="s">
        <v>209</v>
      </c>
      <c r="AE277" s="9" t="str">
        <f t="shared" si="8"/>
        <v>Open in Google Maps</v>
      </c>
    </row>
    <row r="278" spans="1:31" s="140" customFormat="1" ht="66" x14ac:dyDescent="0.3">
      <c r="A278" s="1">
        <f t="shared" si="9"/>
        <v>275</v>
      </c>
      <c r="B278" s="2" t="s">
        <v>1791</v>
      </c>
      <c r="C278" s="3" t="s">
        <v>1792</v>
      </c>
      <c r="D278" s="3" t="s">
        <v>1793</v>
      </c>
      <c r="E278" s="30" t="s">
        <v>35</v>
      </c>
      <c r="F278" s="13" t="s">
        <v>36</v>
      </c>
      <c r="G278" s="4">
        <v>46571</v>
      </c>
      <c r="H278" s="2" t="s">
        <v>683</v>
      </c>
      <c r="I278" s="2" t="s">
        <v>1794</v>
      </c>
      <c r="J278" s="2" t="s">
        <v>1795</v>
      </c>
      <c r="K278" s="2" t="s">
        <v>1796</v>
      </c>
      <c r="L278" s="5">
        <v>-21.753858999999999</v>
      </c>
      <c r="M278" s="5">
        <v>148.786181</v>
      </c>
      <c r="N278" s="3"/>
      <c r="O278" s="3" t="s">
        <v>41</v>
      </c>
      <c r="P278" s="3"/>
      <c r="Q278" s="3" t="s">
        <v>42</v>
      </c>
      <c r="R278" s="3" t="s">
        <v>44</v>
      </c>
      <c r="S278" s="3" t="s">
        <v>41</v>
      </c>
      <c r="T278" s="3"/>
      <c r="U278" s="3" t="s">
        <v>41</v>
      </c>
      <c r="V278" s="3" t="s">
        <v>70</v>
      </c>
      <c r="W278" s="3"/>
      <c r="X278" s="6"/>
      <c r="Y278" s="7"/>
      <c r="Z278" s="7"/>
      <c r="AA278" s="7"/>
      <c r="AB278" s="7"/>
      <c r="AC278" s="8" t="s">
        <v>1062</v>
      </c>
      <c r="AD278" s="63" t="s">
        <v>209</v>
      </c>
      <c r="AE278" s="9" t="str">
        <f t="shared" si="8"/>
        <v>Open in Google Maps</v>
      </c>
    </row>
    <row r="279" spans="1:31" s="140" customFormat="1" ht="33" x14ac:dyDescent="0.3">
      <c r="A279" s="1">
        <f t="shared" si="9"/>
        <v>276</v>
      </c>
      <c r="B279" s="2" t="s">
        <v>1797</v>
      </c>
      <c r="C279" s="3" t="s">
        <v>1798</v>
      </c>
      <c r="D279" s="3" t="s">
        <v>1799</v>
      </c>
      <c r="E279" s="3" t="s">
        <v>35</v>
      </c>
      <c r="F279" s="3" t="s">
        <v>36</v>
      </c>
      <c r="G279" s="4">
        <v>46283</v>
      </c>
      <c r="H279" s="2" t="s">
        <v>181</v>
      </c>
      <c r="I279" s="2" t="s">
        <v>1800</v>
      </c>
      <c r="J279" s="2" t="s">
        <v>1801</v>
      </c>
      <c r="K279" s="2" t="s">
        <v>1802</v>
      </c>
      <c r="L279" s="5">
        <v>-24.206073</v>
      </c>
      <c r="M279" s="5">
        <v>147.88221100000001</v>
      </c>
      <c r="N279" s="3"/>
      <c r="O279" s="3"/>
      <c r="P279" s="3"/>
      <c r="Q279" s="3"/>
      <c r="R279" s="3"/>
      <c r="S279" s="3"/>
      <c r="T279" s="3"/>
      <c r="U279" s="3"/>
      <c r="V279" s="3" t="s">
        <v>70</v>
      </c>
      <c r="W279" s="3"/>
      <c r="X279" s="6"/>
      <c r="Y279" s="3"/>
      <c r="Z279" s="3" t="s">
        <v>44</v>
      </c>
      <c r="AA279" s="7"/>
      <c r="AB279" s="7"/>
      <c r="AC279" s="11" t="s">
        <v>165</v>
      </c>
      <c r="AD279" s="12" t="s">
        <v>113</v>
      </c>
      <c r="AE279" s="9" t="str">
        <f t="shared" si="8"/>
        <v>Open in Google Maps</v>
      </c>
    </row>
    <row r="280" spans="1:31" s="141" customFormat="1" ht="66" x14ac:dyDescent="0.3">
      <c r="A280" s="1">
        <f t="shared" si="9"/>
        <v>277</v>
      </c>
      <c r="B280" s="2" t="s">
        <v>1803</v>
      </c>
      <c r="C280" s="3" t="s">
        <v>1804</v>
      </c>
      <c r="D280" s="3" t="s">
        <v>1805</v>
      </c>
      <c r="E280" s="3" t="s">
        <v>35</v>
      </c>
      <c r="F280" s="3" t="s">
        <v>303</v>
      </c>
      <c r="G280" s="4">
        <v>46115</v>
      </c>
      <c r="H280" s="2" t="s">
        <v>227</v>
      </c>
      <c r="I280" s="2" t="s">
        <v>1806</v>
      </c>
      <c r="J280" s="2" t="s">
        <v>229</v>
      </c>
      <c r="K280" s="2" t="s">
        <v>1807</v>
      </c>
      <c r="L280" s="5">
        <v>-17.146661900000002</v>
      </c>
      <c r="M280" s="5">
        <v>145.30957000000001</v>
      </c>
      <c r="N280" s="3"/>
      <c r="O280" s="3"/>
      <c r="P280" s="3"/>
      <c r="Q280" s="3" t="s">
        <v>42</v>
      </c>
      <c r="R280" s="3" t="s">
        <v>44</v>
      </c>
      <c r="S280" s="3"/>
      <c r="T280" s="3"/>
      <c r="U280" s="3" t="s">
        <v>41</v>
      </c>
      <c r="V280" s="3" t="s">
        <v>70</v>
      </c>
      <c r="W280" s="3" t="s">
        <v>44</v>
      </c>
      <c r="X280" s="6" t="s">
        <v>44</v>
      </c>
      <c r="Y280" s="3"/>
      <c r="Z280" s="7"/>
      <c r="AA280" s="7"/>
      <c r="AB280" s="7"/>
      <c r="AC280" s="8" t="s">
        <v>1808</v>
      </c>
      <c r="AD280" s="2" t="s">
        <v>247</v>
      </c>
      <c r="AE280" s="9" t="str">
        <f t="shared" si="8"/>
        <v>Open in Google Maps</v>
      </c>
    </row>
    <row r="281" spans="1:31" s="140" customFormat="1" ht="66" x14ac:dyDescent="0.3">
      <c r="A281" s="1">
        <f t="shared" si="9"/>
        <v>278</v>
      </c>
      <c r="B281" s="32" t="s">
        <v>1809</v>
      </c>
      <c r="C281" s="1" t="s">
        <v>1810</v>
      </c>
      <c r="D281" s="1" t="s">
        <v>1811</v>
      </c>
      <c r="E281" s="1" t="s">
        <v>202</v>
      </c>
      <c r="F281" s="1" t="s">
        <v>36</v>
      </c>
      <c r="G281" s="33">
        <v>46052</v>
      </c>
      <c r="H281" s="32" t="s">
        <v>108</v>
      </c>
      <c r="I281" s="32" t="s">
        <v>1812</v>
      </c>
      <c r="J281" s="32" t="s">
        <v>110</v>
      </c>
      <c r="K281" s="32" t="s">
        <v>1772</v>
      </c>
      <c r="L281" s="35">
        <v>-26.343596999999999</v>
      </c>
      <c r="M281" s="35">
        <v>148.88800000000001</v>
      </c>
      <c r="N281" s="1"/>
      <c r="O281" s="1"/>
      <c r="P281" s="1"/>
      <c r="Q281" s="1" t="s">
        <v>42</v>
      </c>
      <c r="R281" s="1" t="s">
        <v>44</v>
      </c>
      <c r="S281" s="1" t="s">
        <v>44</v>
      </c>
      <c r="T281" s="1"/>
      <c r="U281" s="1" t="s">
        <v>41</v>
      </c>
      <c r="V281" s="1" t="s">
        <v>70</v>
      </c>
      <c r="W281" s="1" t="s">
        <v>44</v>
      </c>
      <c r="X281" s="36" t="s">
        <v>44</v>
      </c>
      <c r="Y281" s="7"/>
      <c r="Z281" s="7"/>
      <c r="AA281" s="7"/>
      <c r="AB281" s="7"/>
      <c r="AC281" s="37" t="s">
        <v>1000</v>
      </c>
      <c r="AD281" s="38" t="s">
        <v>113</v>
      </c>
      <c r="AE281" s="9" t="str">
        <f t="shared" si="8"/>
        <v>Open in Google Maps</v>
      </c>
    </row>
    <row r="282" spans="1:31" s="141" customFormat="1" ht="66" x14ac:dyDescent="0.3">
      <c r="A282" s="1">
        <f t="shared" si="9"/>
        <v>279</v>
      </c>
      <c r="B282" s="41" t="s">
        <v>1813</v>
      </c>
      <c r="C282" s="42" t="s">
        <v>1814</v>
      </c>
      <c r="D282" s="42" t="s">
        <v>1815</v>
      </c>
      <c r="E282" s="42" t="s">
        <v>35</v>
      </c>
      <c r="F282" s="16" t="s">
        <v>88</v>
      </c>
      <c r="G282" s="43">
        <v>46128</v>
      </c>
      <c r="H282" s="41" t="s">
        <v>128</v>
      </c>
      <c r="I282" s="41" t="s">
        <v>1816</v>
      </c>
      <c r="J282" s="41" t="s">
        <v>1817</v>
      </c>
      <c r="K282" s="41" t="s">
        <v>1818</v>
      </c>
      <c r="L282" s="44">
        <v>-27.508486000000001</v>
      </c>
      <c r="M282" s="44">
        <v>152.15415899999999</v>
      </c>
      <c r="N282" s="42"/>
      <c r="O282" s="42"/>
      <c r="P282" s="42"/>
      <c r="Q282" s="42"/>
      <c r="R282" s="42"/>
      <c r="S282" s="42" t="s">
        <v>44</v>
      </c>
      <c r="T282" s="42" t="s">
        <v>44</v>
      </c>
      <c r="U282" s="42"/>
      <c r="V282" s="42" t="s">
        <v>1819</v>
      </c>
      <c r="W282" s="42"/>
      <c r="X282" s="45"/>
      <c r="Y282" s="7"/>
      <c r="Z282" s="7"/>
      <c r="AA282" s="7"/>
      <c r="AB282" s="7"/>
      <c r="AC282" s="46" t="s">
        <v>1593</v>
      </c>
      <c r="AD282" s="47" t="s">
        <v>140</v>
      </c>
      <c r="AE282" s="9" t="str">
        <f t="shared" si="8"/>
        <v>Open in Google Maps</v>
      </c>
    </row>
    <row r="283" spans="1:31" s="140" customFormat="1" ht="20.45" customHeight="1" x14ac:dyDescent="0.3">
      <c r="A283" s="1">
        <f t="shared" si="9"/>
        <v>280</v>
      </c>
      <c r="B283" s="72" t="s">
        <v>1820</v>
      </c>
      <c r="C283" s="30" t="s">
        <v>1821</v>
      </c>
      <c r="D283" s="30" t="s">
        <v>1822</v>
      </c>
      <c r="E283" s="30" t="s">
        <v>35</v>
      </c>
      <c r="F283" s="3" t="s">
        <v>36</v>
      </c>
      <c r="G283" s="43">
        <v>46226</v>
      </c>
      <c r="H283" s="72" t="s">
        <v>811</v>
      </c>
      <c r="I283" s="72" t="s">
        <v>1823</v>
      </c>
      <c r="J283" s="72" t="s">
        <v>197</v>
      </c>
      <c r="K283" s="72" t="s">
        <v>1824</v>
      </c>
      <c r="L283" s="73">
        <v>-26.527560000000001</v>
      </c>
      <c r="M283" s="73">
        <v>151.70189999999999</v>
      </c>
      <c r="N283" s="30"/>
      <c r="O283" s="30"/>
      <c r="P283" s="30"/>
      <c r="Q283" s="30"/>
      <c r="R283" s="30"/>
      <c r="S283" s="30"/>
      <c r="T283" s="30"/>
      <c r="U283" s="30"/>
      <c r="V283" s="30">
        <v>3</v>
      </c>
      <c r="W283" s="30"/>
      <c r="X283" s="82"/>
      <c r="Y283" s="7"/>
      <c r="Z283" s="7"/>
      <c r="AA283" s="7"/>
      <c r="AB283" s="7"/>
      <c r="AC283" s="74" t="s">
        <v>1825</v>
      </c>
      <c r="AD283" s="75" t="s">
        <v>209</v>
      </c>
      <c r="AE283" s="9" t="str">
        <f t="shared" si="8"/>
        <v>Open in Google Maps</v>
      </c>
    </row>
    <row r="284" spans="1:31" s="141" customFormat="1" ht="66" x14ac:dyDescent="0.3">
      <c r="A284" s="1">
        <f t="shared" si="9"/>
        <v>281</v>
      </c>
      <c r="B284" s="2" t="s">
        <v>1826</v>
      </c>
      <c r="C284" s="3" t="s">
        <v>1827</v>
      </c>
      <c r="D284" s="3" t="s">
        <v>1828</v>
      </c>
      <c r="E284" s="3" t="s">
        <v>202</v>
      </c>
      <c r="F284" s="3" t="s">
        <v>36</v>
      </c>
      <c r="G284" s="4">
        <v>46034</v>
      </c>
      <c r="H284" s="2" t="s">
        <v>272</v>
      </c>
      <c r="I284" s="2" t="s">
        <v>1829</v>
      </c>
      <c r="J284" s="2" t="s">
        <v>560</v>
      </c>
      <c r="K284" s="2" t="s">
        <v>1830</v>
      </c>
      <c r="L284" s="5">
        <v>-27.552257999999998</v>
      </c>
      <c r="M284" s="5">
        <v>151.81800000000001</v>
      </c>
      <c r="N284" s="3"/>
      <c r="O284" s="3" t="s">
        <v>44</v>
      </c>
      <c r="P284" s="3"/>
      <c r="Q284" s="3" t="s">
        <v>42</v>
      </c>
      <c r="R284" s="3" t="s">
        <v>44</v>
      </c>
      <c r="S284" s="3" t="s">
        <v>44</v>
      </c>
      <c r="T284" s="3" t="s">
        <v>44</v>
      </c>
      <c r="U284" s="3"/>
      <c r="V284" s="3" t="s">
        <v>43</v>
      </c>
      <c r="W284" s="3" t="s">
        <v>44</v>
      </c>
      <c r="X284" s="6" t="s">
        <v>44</v>
      </c>
      <c r="Y284" s="7"/>
      <c r="Z284" s="7"/>
      <c r="AA284" s="6" t="s">
        <v>44</v>
      </c>
      <c r="AB284" s="6" t="s">
        <v>44</v>
      </c>
      <c r="AC284" s="2" t="s">
        <v>165</v>
      </c>
      <c r="AD284" s="2" t="s">
        <v>113</v>
      </c>
      <c r="AE284" s="9" t="str">
        <f t="shared" si="8"/>
        <v>Open in Google Maps</v>
      </c>
    </row>
    <row r="285" spans="1:31" s="140" customFormat="1" ht="66" x14ac:dyDescent="0.3">
      <c r="A285" s="1">
        <f t="shared" si="9"/>
        <v>282</v>
      </c>
      <c r="B285" s="72" t="s">
        <v>1831</v>
      </c>
      <c r="C285" s="30" t="s">
        <v>1832</v>
      </c>
      <c r="D285" s="30" t="s">
        <v>1833</v>
      </c>
      <c r="E285" s="30" t="s">
        <v>35</v>
      </c>
      <c r="F285" s="3" t="s">
        <v>88</v>
      </c>
      <c r="G285" s="67">
        <v>46171</v>
      </c>
      <c r="H285" s="72" t="s">
        <v>37</v>
      </c>
      <c r="I285" s="72" t="s">
        <v>1834</v>
      </c>
      <c r="J285" s="72" t="s">
        <v>1370</v>
      </c>
      <c r="K285" s="72" t="s">
        <v>1692</v>
      </c>
      <c r="L285" s="73">
        <v>-20.0518</v>
      </c>
      <c r="M285" s="73">
        <v>148.10249999999999</v>
      </c>
      <c r="N285" s="30"/>
      <c r="O285" s="85"/>
      <c r="P285" s="85"/>
      <c r="Q285" s="13" t="s">
        <v>42</v>
      </c>
      <c r="R285" s="30" t="s">
        <v>44</v>
      </c>
      <c r="S285" s="30"/>
      <c r="T285" s="30"/>
      <c r="U285" s="30" t="s">
        <v>44</v>
      </c>
      <c r="V285" s="30" t="s">
        <v>70</v>
      </c>
      <c r="W285" s="30" t="s">
        <v>44</v>
      </c>
      <c r="X285" s="30" t="s">
        <v>44</v>
      </c>
      <c r="Y285" s="7"/>
      <c r="Z285" s="7"/>
      <c r="AA285" s="30" t="s">
        <v>44</v>
      </c>
      <c r="AB285" s="30" t="s">
        <v>44</v>
      </c>
      <c r="AC285" s="75" t="s">
        <v>1835</v>
      </c>
      <c r="AD285" s="75" t="s">
        <v>209</v>
      </c>
      <c r="AE285" s="9" t="str">
        <f t="shared" si="8"/>
        <v>Open in Google Maps</v>
      </c>
    </row>
    <row r="286" spans="1:31" s="140" customFormat="1" ht="33" x14ac:dyDescent="0.3">
      <c r="A286" s="1">
        <f t="shared" si="9"/>
        <v>283</v>
      </c>
      <c r="B286" s="2" t="s">
        <v>1836</v>
      </c>
      <c r="C286" s="3" t="s">
        <v>1837</v>
      </c>
      <c r="D286" s="3" t="s">
        <v>1838</v>
      </c>
      <c r="E286" s="3" t="s">
        <v>35</v>
      </c>
      <c r="F286" s="3" t="s">
        <v>36</v>
      </c>
      <c r="G286" s="4">
        <v>46654</v>
      </c>
      <c r="H286" s="2" t="s">
        <v>550</v>
      </c>
      <c r="I286" s="2" t="s">
        <v>1839</v>
      </c>
      <c r="J286" s="2" t="s">
        <v>750</v>
      </c>
      <c r="K286" s="2" t="s">
        <v>1840</v>
      </c>
      <c r="L286" s="5">
        <v>-23.673999999999999</v>
      </c>
      <c r="M286" s="5">
        <v>150.10061999999999</v>
      </c>
      <c r="N286" s="3"/>
      <c r="O286" s="3"/>
      <c r="P286" s="3"/>
      <c r="Q286" s="3"/>
      <c r="R286" s="3"/>
      <c r="S286" s="3"/>
      <c r="T286" s="3"/>
      <c r="U286" s="3" t="s">
        <v>41</v>
      </c>
      <c r="V286" s="3" t="s">
        <v>70</v>
      </c>
      <c r="W286" s="3"/>
      <c r="X286" s="3"/>
      <c r="Y286" s="7"/>
      <c r="Z286" s="3"/>
      <c r="AA286" s="3"/>
      <c r="AB286" s="3"/>
      <c r="AC286" s="12" t="s">
        <v>1841</v>
      </c>
      <c r="AD286" s="12" t="s">
        <v>113</v>
      </c>
      <c r="AE286" s="9" t="str">
        <f t="shared" si="8"/>
        <v>Open in Google Maps</v>
      </c>
    </row>
    <row r="287" spans="1:31" s="140" customFormat="1" ht="49.5" x14ac:dyDescent="0.3">
      <c r="A287" s="1">
        <f t="shared" si="9"/>
        <v>284</v>
      </c>
      <c r="B287" s="72" t="s">
        <v>1842</v>
      </c>
      <c r="C287" s="30" t="s">
        <v>1843</v>
      </c>
      <c r="D287" s="30" t="s">
        <v>1844</v>
      </c>
      <c r="E287" s="30" t="s">
        <v>35</v>
      </c>
      <c r="F287" s="3" t="s">
        <v>36</v>
      </c>
      <c r="G287" s="67">
        <v>46444</v>
      </c>
      <c r="H287" s="72" t="s">
        <v>37</v>
      </c>
      <c r="I287" s="72" t="s">
        <v>1845</v>
      </c>
      <c r="J287" s="72" t="s">
        <v>1409</v>
      </c>
      <c r="K287" s="72" t="s">
        <v>1846</v>
      </c>
      <c r="L287" s="73">
        <v>-20.351099999999999</v>
      </c>
      <c r="M287" s="73">
        <v>148.6225</v>
      </c>
      <c r="N287" s="30"/>
      <c r="O287" s="30"/>
      <c r="P287" s="30"/>
      <c r="Q287" s="30"/>
      <c r="R287" s="30"/>
      <c r="S287" s="30"/>
      <c r="T287" s="30"/>
      <c r="U287" s="30" t="s">
        <v>41</v>
      </c>
      <c r="V287" s="30" t="s">
        <v>764</v>
      </c>
      <c r="W287" s="30"/>
      <c r="X287" s="30"/>
      <c r="Y287" s="30"/>
      <c r="Z287" s="7"/>
      <c r="AA287" s="7"/>
      <c r="AB287" s="7"/>
      <c r="AC287" s="75" t="s">
        <v>1847</v>
      </c>
      <c r="AD287" s="75" t="s">
        <v>63</v>
      </c>
      <c r="AE287" s="9" t="str">
        <f t="shared" si="8"/>
        <v>Open in Google Maps</v>
      </c>
    </row>
    <row r="288" spans="1:31" s="140" customFormat="1" ht="24.6" customHeight="1" x14ac:dyDescent="0.3">
      <c r="A288" s="1">
        <f t="shared" si="9"/>
        <v>285</v>
      </c>
      <c r="B288" s="72" t="s">
        <v>1848</v>
      </c>
      <c r="C288" s="30" t="s">
        <v>1849</v>
      </c>
      <c r="D288" s="30" t="s">
        <v>1850</v>
      </c>
      <c r="E288" s="3" t="s">
        <v>35</v>
      </c>
      <c r="F288" s="3" t="s">
        <v>36</v>
      </c>
      <c r="G288" s="67">
        <v>46108</v>
      </c>
      <c r="H288" s="72" t="s">
        <v>333</v>
      </c>
      <c r="I288" s="72" t="s">
        <v>1851</v>
      </c>
      <c r="J288" s="72" t="s">
        <v>1852</v>
      </c>
      <c r="K288" s="72" t="s">
        <v>1853</v>
      </c>
      <c r="L288" s="73">
        <v>-24.799040000000002</v>
      </c>
      <c r="M288" s="73">
        <v>152.31417999999999</v>
      </c>
      <c r="N288" s="30"/>
      <c r="O288" s="30"/>
      <c r="P288" s="30"/>
      <c r="Q288" s="30"/>
      <c r="R288" s="30"/>
      <c r="S288" s="30" t="s">
        <v>44</v>
      </c>
      <c r="T288" s="30" t="s">
        <v>44</v>
      </c>
      <c r="U288" s="30"/>
      <c r="V288" s="30"/>
      <c r="W288" s="30"/>
      <c r="X288" s="30"/>
      <c r="Y288" s="30"/>
      <c r="Z288" s="7"/>
      <c r="AA288" s="7"/>
      <c r="AB288" s="7"/>
      <c r="AC288" s="75" t="s">
        <v>1854</v>
      </c>
      <c r="AD288" s="75" t="s">
        <v>55</v>
      </c>
      <c r="AE288" s="9" t="str">
        <f t="shared" si="8"/>
        <v>Open in Google Maps</v>
      </c>
    </row>
    <row r="289" spans="1:31" s="140" customFormat="1" ht="39" customHeight="1" x14ac:dyDescent="0.3">
      <c r="A289" s="1">
        <f t="shared" si="9"/>
        <v>286</v>
      </c>
      <c r="B289" s="72" t="s">
        <v>1855</v>
      </c>
      <c r="C289" s="30" t="s">
        <v>1856</v>
      </c>
      <c r="D289" s="30" t="s">
        <v>1857</v>
      </c>
      <c r="E289" s="30" t="s">
        <v>35</v>
      </c>
      <c r="F289" s="3" t="s">
        <v>36</v>
      </c>
      <c r="G289" s="67">
        <v>46108</v>
      </c>
      <c r="H289" s="32" t="s">
        <v>333</v>
      </c>
      <c r="I289" s="72" t="s">
        <v>1858</v>
      </c>
      <c r="J289" s="72" t="s">
        <v>1852</v>
      </c>
      <c r="K289" s="72" t="s">
        <v>1853</v>
      </c>
      <c r="L289" s="73">
        <v>-24.744651000000001</v>
      </c>
      <c r="M289" s="73">
        <v>152.30993699999999</v>
      </c>
      <c r="N289" s="30"/>
      <c r="O289" s="30"/>
      <c r="P289" s="30"/>
      <c r="Q289" s="30"/>
      <c r="R289" s="30"/>
      <c r="S289" s="30" t="s">
        <v>44</v>
      </c>
      <c r="T289" s="30" t="s">
        <v>44</v>
      </c>
      <c r="U289" s="30"/>
      <c r="V289" s="30"/>
      <c r="W289" s="30"/>
      <c r="X289" s="30"/>
      <c r="Y289" s="7"/>
      <c r="Z289" s="7"/>
      <c r="AA289" s="7"/>
      <c r="AB289" s="7"/>
      <c r="AC289" s="75" t="s">
        <v>1859</v>
      </c>
      <c r="AD289" s="75" t="s">
        <v>55</v>
      </c>
      <c r="AE289" s="9" t="str">
        <f t="shared" si="8"/>
        <v>Open in Google Maps</v>
      </c>
    </row>
    <row r="290" spans="1:31" s="140" customFormat="1" ht="25.9" customHeight="1" x14ac:dyDescent="0.3">
      <c r="A290" s="1">
        <f t="shared" si="9"/>
        <v>287</v>
      </c>
      <c r="B290" s="2" t="s">
        <v>1860</v>
      </c>
      <c r="C290" s="3" t="s">
        <v>1861</v>
      </c>
      <c r="D290" s="3" t="s">
        <v>1862</v>
      </c>
      <c r="E290" s="3" t="s">
        <v>35</v>
      </c>
      <c r="F290" s="3" t="s">
        <v>117</v>
      </c>
      <c r="G290" s="4">
        <v>46779</v>
      </c>
      <c r="H290" s="2" t="s">
        <v>324</v>
      </c>
      <c r="I290" s="2" t="s">
        <v>1863</v>
      </c>
      <c r="J290" s="2" t="s">
        <v>843</v>
      </c>
      <c r="K290" s="2" t="s">
        <v>1864</v>
      </c>
      <c r="L290" s="3">
        <v>-27.928999999999998</v>
      </c>
      <c r="M290" s="3">
        <v>148.839</v>
      </c>
      <c r="N290" s="3"/>
      <c r="O290" s="3"/>
      <c r="P290" s="3"/>
      <c r="Q290" s="3"/>
      <c r="R290" s="3"/>
      <c r="S290" s="3"/>
      <c r="T290" s="3"/>
      <c r="U290" s="3"/>
      <c r="V290" s="3">
        <v>4</v>
      </c>
      <c r="W290" s="3"/>
      <c r="X290" s="3"/>
      <c r="Y290" s="7"/>
      <c r="Z290" s="7"/>
      <c r="AA290" s="7"/>
      <c r="AB290" s="7"/>
      <c r="AC290" s="12" t="s">
        <v>1865</v>
      </c>
      <c r="AD290" s="12" t="s">
        <v>124</v>
      </c>
      <c r="AE290" s="9" t="str">
        <f t="shared" si="8"/>
        <v>Open in Google Maps</v>
      </c>
    </row>
    <row r="291" spans="1:31" s="140" customFormat="1" ht="37.15" customHeight="1" x14ac:dyDescent="0.3">
      <c r="A291" s="1">
        <f t="shared" si="9"/>
        <v>288</v>
      </c>
      <c r="B291" s="2" t="s">
        <v>1866</v>
      </c>
      <c r="C291" s="3" t="s">
        <v>1867</v>
      </c>
      <c r="D291" s="3" t="s">
        <v>1868</v>
      </c>
      <c r="E291" s="3" t="s">
        <v>35</v>
      </c>
      <c r="F291" s="13" t="s">
        <v>36</v>
      </c>
      <c r="G291" s="4">
        <v>46648</v>
      </c>
      <c r="H291" s="2" t="s">
        <v>683</v>
      </c>
      <c r="I291" s="2" t="s">
        <v>1869</v>
      </c>
      <c r="J291" s="2" t="s">
        <v>837</v>
      </c>
      <c r="K291" s="2" t="s">
        <v>1870</v>
      </c>
      <c r="L291" s="5">
        <v>-22.12914</v>
      </c>
      <c r="M291" s="5">
        <v>148.29993999999999</v>
      </c>
      <c r="N291" s="3"/>
      <c r="O291" s="3"/>
      <c r="P291" s="3"/>
      <c r="Q291" s="13"/>
      <c r="R291" s="3"/>
      <c r="S291" s="3" t="s">
        <v>44</v>
      </c>
      <c r="T291" s="3" t="s">
        <v>44</v>
      </c>
      <c r="U291" s="3"/>
      <c r="V291" s="3"/>
      <c r="W291" s="3"/>
      <c r="X291" s="3"/>
      <c r="Y291" s="7"/>
      <c r="Z291" s="7"/>
      <c r="AA291" s="7"/>
      <c r="AB291" s="7"/>
      <c r="AC291" s="2" t="s">
        <v>1871</v>
      </c>
      <c r="AD291" s="2" t="s">
        <v>55</v>
      </c>
      <c r="AE291" s="9" t="str">
        <f t="shared" si="8"/>
        <v>Open in Google Maps</v>
      </c>
    </row>
    <row r="292" spans="1:31" s="140" customFormat="1" ht="66" x14ac:dyDescent="0.3">
      <c r="A292" s="1">
        <f t="shared" si="9"/>
        <v>289</v>
      </c>
      <c r="B292" s="2" t="s">
        <v>1872</v>
      </c>
      <c r="C292" s="3" t="s">
        <v>1873</v>
      </c>
      <c r="D292" s="3" t="s">
        <v>1874</v>
      </c>
      <c r="E292" s="3" t="s">
        <v>35</v>
      </c>
      <c r="F292" s="13" t="s">
        <v>36</v>
      </c>
      <c r="G292" s="4">
        <v>46596</v>
      </c>
      <c r="H292" s="2" t="s">
        <v>683</v>
      </c>
      <c r="I292" s="2" t="s">
        <v>1875</v>
      </c>
      <c r="J292" s="2" t="s">
        <v>837</v>
      </c>
      <c r="K292" s="2" t="s">
        <v>1876</v>
      </c>
      <c r="L292" s="5">
        <v>-22.131319999999999</v>
      </c>
      <c r="M292" s="5">
        <v>148.25960000000001</v>
      </c>
      <c r="N292" s="3"/>
      <c r="O292" s="3" t="s">
        <v>41</v>
      </c>
      <c r="P292" s="3"/>
      <c r="Q292" s="13" t="s">
        <v>42</v>
      </c>
      <c r="R292" s="3" t="s">
        <v>44</v>
      </c>
      <c r="S292" s="3" t="s">
        <v>41</v>
      </c>
      <c r="T292" s="3"/>
      <c r="U292" s="3" t="s">
        <v>41</v>
      </c>
      <c r="V292" s="3" t="s">
        <v>70</v>
      </c>
      <c r="W292" s="3"/>
      <c r="X292" s="3"/>
      <c r="Y292" s="7"/>
      <c r="Z292" s="7"/>
      <c r="AA292" s="3" t="s">
        <v>44</v>
      </c>
      <c r="AB292" s="7"/>
      <c r="AC292" s="2" t="s">
        <v>1877</v>
      </c>
      <c r="AD292" s="2" t="s">
        <v>63</v>
      </c>
      <c r="AE292" s="9" t="str">
        <f t="shared" si="8"/>
        <v>Open in Google Maps</v>
      </c>
    </row>
    <row r="293" spans="1:31" s="140" customFormat="1" ht="66" x14ac:dyDescent="0.3">
      <c r="A293" s="1">
        <f t="shared" si="9"/>
        <v>290</v>
      </c>
      <c r="B293" s="41" t="s">
        <v>1878</v>
      </c>
      <c r="C293" s="42" t="s">
        <v>1879</v>
      </c>
      <c r="D293" s="42" t="s">
        <v>1880</v>
      </c>
      <c r="E293" s="42" t="s">
        <v>35</v>
      </c>
      <c r="F293" s="16" t="s">
        <v>88</v>
      </c>
      <c r="G293" s="43">
        <v>46718</v>
      </c>
      <c r="H293" s="41" t="s">
        <v>280</v>
      </c>
      <c r="I293" s="41" t="s">
        <v>1881</v>
      </c>
      <c r="J293" s="41" t="s">
        <v>770</v>
      </c>
      <c r="K293" s="41" t="s">
        <v>1882</v>
      </c>
      <c r="L293" s="44">
        <v>-27.788020599999999</v>
      </c>
      <c r="M293" s="44">
        <v>153.19866300000001</v>
      </c>
      <c r="N293" s="42"/>
      <c r="O293" s="42" t="s">
        <v>44</v>
      </c>
      <c r="P293" s="42"/>
      <c r="Q293" s="55" t="s">
        <v>42</v>
      </c>
      <c r="R293" s="42" t="s">
        <v>44</v>
      </c>
      <c r="S293" s="42" t="s">
        <v>44</v>
      </c>
      <c r="T293" s="42" t="s">
        <v>44</v>
      </c>
      <c r="U293" s="42"/>
      <c r="V293" s="42" t="s">
        <v>43</v>
      </c>
      <c r="W293" s="42" t="s">
        <v>44</v>
      </c>
      <c r="X293" s="42" t="s">
        <v>44</v>
      </c>
      <c r="Y293" s="7"/>
      <c r="Z293" s="42"/>
      <c r="AA293" s="42" t="s">
        <v>44</v>
      </c>
      <c r="AB293" s="42" t="s">
        <v>44</v>
      </c>
      <c r="AC293" s="47" t="s">
        <v>372</v>
      </c>
      <c r="AD293" s="47" t="s">
        <v>247</v>
      </c>
      <c r="AE293" s="9" t="str">
        <f t="shared" si="8"/>
        <v>Open in Google Maps</v>
      </c>
    </row>
    <row r="294" spans="1:31" s="140" customFormat="1" ht="66" x14ac:dyDescent="0.3">
      <c r="A294" s="1">
        <f t="shared" si="9"/>
        <v>291</v>
      </c>
      <c r="B294" s="2" t="s">
        <v>1883</v>
      </c>
      <c r="C294" s="3" t="s">
        <v>1884</v>
      </c>
      <c r="D294" s="3" t="s">
        <v>1885</v>
      </c>
      <c r="E294" s="3" t="s">
        <v>35</v>
      </c>
      <c r="F294" s="3" t="s">
        <v>36</v>
      </c>
      <c r="G294" s="4">
        <v>46667</v>
      </c>
      <c r="H294" s="2" t="s">
        <v>811</v>
      </c>
      <c r="I294" s="2" t="s">
        <v>1886</v>
      </c>
      <c r="J294" s="2" t="s">
        <v>110</v>
      </c>
      <c r="K294" s="2" t="s">
        <v>1772</v>
      </c>
      <c r="L294" s="5">
        <v>-26.359000000000002</v>
      </c>
      <c r="M294" s="5">
        <v>151.58099999999999</v>
      </c>
      <c r="N294" s="3"/>
      <c r="O294" s="3" t="s">
        <v>44</v>
      </c>
      <c r="P294" s="3"/>
      <c r="Q294" s="3" t="s">
        <v>42</v>
      </c>
      <c r="R294" s="3" t="s">
        <v>44</v>
      </c>
      <c r="S294" s="3" t="s">
        <v>44</v>
      </c>
      <c r="T294" s="3" t="s">
        <v>44</v>
      </c>
      <c r="U294" s="3" t="s">
        <v>41</v>
      </c>
      <c r="V294" s="3" t="s">
        <v>70</v>
      </c>
      <c r="W294" s="3" t="s">
        <v>44</v>
      </c>
      <c r="X294" s="3" t="s">
        <v>44</v>
      </c>
      <c r="Y294" s="7"/>
      <c r="Z294" s="7"/>
      <c r="AA294" s="7"/>
      <c r="AB294" s="7"/>
      <c r="AC294" s="11" t="s">
        <v>255</v>
      </c>
      <c r="AD294" s="12" t="s">
        <v>113</v>
      </c>
      <c r="AE294" s="9" t="str">
        <f t="shared" si="8"/>
        <v>Open in Google Maps</v>
      </c>
    </row>
    <row r="295" spans="1:31" s="140" customFormat="1" ht="33" x14ac:dyDescent="0.3">
      <c r="A295" s="1">
        <f t="shared" si="9"/>
        <v>292</v>
      </c>
      <c r="B295" s="2" t="s">
        <v>1887</v>
      </c>
      <c r="C295" s="3" t="s">
        <v>1888</v>
      </c>
      <c r="D295" s="3" t="s">
        <v>1889</v>
      </c>
      <c r="E295" s="3" t="s">
        <v>35</v>
      </c>
      <c r="F295" s="3" t="s">
        <v>303</v>
      </c>
      <c r="G295" s="4">
        <v>46115</v>
      </c>
      <c r="H295" s="2" t="s">
        <v>398</v>
      </c>
      <c r="I295" s="2" t="s">
        <v>1890</v>
      </c>
      <c r="J295" s="2" t="s">
        <v>1891</v>
      </c>
      <c r="K295" s="2" t="s">
        <v>1059</v>
      </c>
      <c r="L295" s="5">
        <v>-17.33629302308</v>
      </c>
      <c r="M295" s="5">
        <v>145.47593611623</v>
      </c>
      <c r="N295" s="3"/>
      <c r="O295" s="3" t="s">
        <v>41</v>
      </c>
      <c r="P295" s="3"/>
      <c r="Q295" s="3" t="s">
        <v>687</v>
      </c>
      <c r="R295" s="3"/>
      <c r="S295" s="3" t="s">
        <v>41</v>
      </c>
      <c r="T295" s="3" t="s">
        <v>41</v>
      </c>
      <c r="U295" s="3" t="s">
        <v>41</v>
      </c>
      <c r="V295" s="3" t="s">
        <v>70</v>
      </c>
      <c r="W295" s="3"/>
      <c r="X295" s="3"/>
      <c r="Y295" s="7"/>
      <c r="Z295" s="7"/>
      <c r="AA295" s="7"/>
      <c r="AB295" s="7"/>
      <c r="AC295" s="12" t="s">
        <v>1892</v>
      </c>
      <c r="AD295" s="12" t="s">
        <v>209</v>
      </c>
      <c r="AE295" s="9" t="str">
        <f t="shared" si="8"/>
        <v>Open in Google Maps</v>
      </c>
    </row>
    <row r="296" spans="1:31" s="140" customFormat="1" ht="66" x14ac:dyDescent="0.3">
      <c r="A296" s="1">
        <f t="shared" si="9"/>
        <v>293</v>
      </c>
      <c r="B296" s="2" t="s">
        <v>1893</v>
      </c>
      <c r="C296" s="3" t="s">
        <v>1894</v>
      </c>
      <c r="D296" s="3" t="s">
        <v>1895</v>
      </c>
      <c r="E296" s="3" t="s">
        <v>35</v>
      </c>
      <c r="F296" s="3" t="s">
        <v>36</v>
      </c>
      <c r="G296" s="4">
        <v>46393</v>
      </c>
      <c r="H296" s="2" t="s">
        <v>550</v>
      </c>
      <c r="I296" s="2" t="s">
        <v>1896</v>
      </c>
      <c r="J296" s="2" t="s">
        <v>1897</v>
      </c>
      <c r="K296" s="2" t="s">
        <v>1882</v>
      </c>
      <c r="L296" s="5">
        <v>-24.379629191919999</v>
      </c>
      <c r="M296" s="5">
        <v>150.31158379999999</v>
      </c>
      <c r="N296" s="3"/>
      <c r="O296" s="3"/>
      <c r="P296" s="3"/>
      <c r="Q296" s="3" t="s">
        <v>42</v>
      </c>
      <c r="R296" s="3" t="s">
        <v>44</v>
      </c>
      <c r="S296" s="3"/>
      <c r="T296" s="3"/>
      <c r="U296" s="3"/>
      <c r="V296" s="3" t="s">
        <v>43</v>
      </c>
      <c r="W296" s="3" t="s">
        <v>44</v>
      </c>
      <c r="X296" s="6" t="s">
        <v>44</v>
      </c>
      <c r="Y296" s="7"/>
      <c r="Z296" s="3"/>
      <c r="AA296" s="3" t="s">
        <v>44</v>
      </c>
      <c r="AB296" s="7"/>
      <c r="AC296" s="11" t="s">
        <v>1898</v>
      </c>
      <c r="AD296" s="12" t="s">
        <v>247</v>
      </c>
      <c r="AE296" s="9" t="str">
        <f t="shared" si="8"/>
        <v>Open in Google Maps</v>
      </c>
    </row>
    <row r="297" spans="1:31" s="140" customFormat="1" ht="66" x14ac:dyDescent="0.3">
      <c r="A297" s="1">
        <f t="shared" si="9"/>
        <v>294</v>
      </c>
      <c r="B297" s="2" t="s">
        <v>1899</v>
      </c>
      <c r="C297" s="3" t="s">
        <v>1900</v>
      </c>
      <c r="D297" s="3" t="s">
        <v>1901</v>
      </c>
      <c r="E297" s="3" t="s">
        <v>35</v>
      </c>
      <c r="F297" s="3" t="s">
        <v>36</v>
      </c>
      <c r="G297" s="4">
        <v>46528</v>
      </c>
      <c r="H297" s="2" t="s">
        <v>519</v>
      </c>
      <c r="I297" s="2" t="s">
        <v>1902</v>
      </c>
      <c r="J297" s="2" t="s">
        <v>1903</v>
      </c>
      <c r="K297" s="2" t="s">
        <v>1902</v>
      </c>
      <c r="L297" s="5">
        <v>-23.821944999999999</v>
      </c>
      <c r="M297" s="5">
        <v>151.13817499999999</v>
      </c>
      <c r="N297" s="3"/>
      <c r="O297" s="118"/>
      <c r="P297" s="3" t="s">
        <v>44</v>
      </c>
      <c r="Q297" s="3" t="s">
        <v>42</v>
      </c>
      <c r="R297" s="3" t="s">
        <v>44</v>
      </c>
      <c r="S297" s="3" t="s">
        <v>44</v>
      </c>
      <c r="T297" s="3" t="s">
        <v>44</v>
      </c>
      <c r="U297" s="3"/>
      <c r="V297" s="3" t="s">
        <v>43</v>
      </c>
      <c r="W297" s="3" t="s">
        <v>44</v>
      </c>
      <c r="X297" s="6" t="s">
        <v>44</v>
      </c>
      <c r="Y297" s="6" t="s">
        <v>44</v>
      </c>
      <c r="Z297" s="7"/>
      <c r="AA297" s="3" t="s">
        <v>44</v>
      </c>
      <c r="AB297" s="3" t="s">
        <v>44</v>
      </c>
      <c r="AC297" s="8" t="s">
        <v>1904</v>
      </c>
      <c r="AD297" s="2" t="s">
        <v>247</v>
      </c>
      <c r="AE297" s="9" t="str">
        <f t="shared" si="8"/>
        <v>Open in Google Maps</v>
      </c>
    </row>
    <row r="298" spans="1:31" s="140" customFormat="1" ht="66" x14ac:dyDescent="0.3">
      <c r="A298" s="1">
        <f t="shared" si="9"/>
        <v>295</v>
      </c>
      <c r="B298" s="15" t="s">
        <v>1905</v>
      </c>
      <c r="C298" s="16" t="s">
        <v>1906</v>
      </c>
      <c r="D298" s="16" t="s">
        <v>1907</v>
      </c>
      <c r="E298" s="16" t="s">
        <v>35</v>
      </c>
      <c r="F298" s="16" t="s">
        <v>36</v>
      </c>
      <c r="G298" s="17">
        <v>46313</v>
      </c>
      <c r="H298" s="15" t="s">
        <v>280</v>
      </c>
      <c r="I298" s="15" t="s">
        <v>1908</v>
      </c>
      <c r="J298" s="15" t="s">
        <v>1909</v>
      </c>
      <c r="K298" s="15" t="s">
        <v>1910</v>
      </c>
      <c r="L298" s="19">
        <v>-27.778611000000001</v>
      </c>
      <c r="M298" s="19">
        <v>153.21799100000001</v>
      </c>
      <c r="N298" s="16"/>
      <c r="O298" s="16" t="s">
        <v>44</v>
      </c>
      <c r="P298" s="16"/>
      <c r="Q298" s="16" t="s">
        <v>42</v>
      </c>
      <c r="R298" s="16" t="s">
        <v>44</v>
      </c>
      <c r="S298" s="16" t="s">
        <v>44</v>
      </c>
      <c r="T298" s="16" t="s">
        <v>44</v>
      </c>
      <c r="U298" s="16" t="s">
        <v>41</v>
      </c>
      <c r="V298" s="16" t="s">
        <v>70</v>
      </c>
      <c r="W298" s="16" t="s">
        <v>44</v>
      </c>
      <c r="X298" s="20" t="s">
        <v>44</v>
      </c>
      <c r="Y298" s="7"/>
      <c r="Z298" s="7"/>
      <c r="AA298" s="7"/>
      <c r="AB298" s="7"/>
      <c r="AC298" s="21" t="s">
        <v>1911</v>
      </c>
      <c r="AD298" s="22" t="s">
        <v>247</v>
      </c>
      <c r="AE298" s="9" t="str">
        <f t="shared" si="8"/>
        <v>Open in Google Maps</v>
      </c>
    </row>
    <row r="299" spans="1:31" s="141" customFormat="1" ht="34.9" customHeight="1" x14ac:dyDescent="0.3">
      <c r="A299" s="1">
        <f t="shared" si="9"/>
        <v>296</v>
      </c>
      <c r="B299" s="2" t="s">
        <v>1912</v>
      </c>
      <c r="C299" s="3" t="s">
        <v>1913</v>
      </c>
      <c r="D299" s="3" t="s">
        <v>1914</v>
      </c>
      <c r="E299" s="3" t="s">
        <v>35</v>
      </c>
      <c r="F299" s="3" t="s">
        <v>36</v>
      </c>
      <c r="G299" s="4">
        <v>46115</v>
      </c>
      <c r="H299" s="2" t="s">
        <v>108</v>
      </c>
      <c r="I299" s="2" t="s">
        <v>1915</v>
      </c>
      <c r="J299" s="2" t="s">
        <v>295</v>
      </c>
      <c r="K299" s="2" t="s">
        <v>1916</v>
      </c>
      <c r="L299" s="5">
        <v>-26.379000000000001</v>
      </c>
      <c r="M299" s="5">
        <v>149.999</v>
      </c>
      <c r="N299" s="3"/>
      <c r="O299" s="3"/>
      <c r="P299" s="3"/>
      <c r="Q299" s="3"/>
      <c r="R299" s="3"/>
      <c r="S299" s="3" t="s">
        <v>44</v>
      </c>
      <c r="T299" s="3" t="s">
        <v>44</v>
      </c>
      <c r="U299" s="3"/>
      <c r="V299" s="3"/>
      <c r="W299" s="3"/>
      <c r="X299" s="3"/>
      <c r="Y299" s="7"/>
      <c r="Z299" s="7"/>
      <c r="AA299" s="7"/>
      <c r="AB299" s="7"/>
      <c r="AC299" s="12" t="s">
        <v>629</v>
      </c>
      <c r="AD299" s="12" t="s">
        <v>55</v>
      </c>
      <c r="AE299" s="9" t="str">
        <f t="shared" si="8"/>
        <v>Open in Google Maps</v>
      </c>
    </row>
    <row r="300" spans="1:31" s="140" customFormat="1" ht="39.75" customHeight="1" x14ac:dyDescent="0.3">
      <c r="C300" s="145"/>
      <c r="D300" s="145"/>
      <c r="E300" s="145"/>
      <c r="F300" s="145"/>
      <c r="G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E300" s="145"/>
    </row>
    <row r="301" spans="1:31" ht="88.5" customHeight="1" x14ac:dyDescent="0.3">
      <c r="G301" s="148"/>
      <c r="I301" s="147"/>
      <c r="J301" s="147"/>
      <c r="K301" s="147"/>
      <c r="Z301" s="148"/>
      <c r="AA301" s="148"/>
      <c r="AE301" s="148"/>
    </row>
    <row r="302" spans="1:31" x14ac:dyDescent="0.3">
      <c r="I302" s="149"/>
    </row>
    <row r="303" spans="1:31" x14ac:dyDescent="0.3">
      <c r="I303" s="149"/>
    </row>
    <row r="304" spans="1:31" x14ac:dyDescent="0.3">
      <c r="I304" s="149"/>
    </row>
  </sheetData>
  <sheetProtection algorithmName="SHA-512" hashValue="x49s2AEQHoHo5tRnvUTt+vipw/lOtC7kvX5nK9A32m2PvQGvvxo+TyFpqcsLmxOWB44KRI6bUQEUnh3L2QbgtQ==" saltValue="fyzPeKWrYSkk2f0Yntcllg==" spinCount="100000" sheet="1" objects="1" scenarios="1" sort="0" autoFilter="0" pivotTables="0"/>
  <autoFilter ref="A3:AE300" xr:uid="{8A4CF2B9-BC15-43D8-B1B0-D1EB9D916AAE}">
    <sortState xmlns:xlrd2="http://schemas.microsoft.com/office/spreadsheetml/2017/richdata2" ref="A4:AE300">
      <sortCondition ref="B3:B300"/>
    </sortState>
  </autoFilter>
  <mergeCells count="3">
    <mergeCell ref="O2:AB2"/>
    <mergeCell ref="A2:N2"/>
    <mergeCell ref="A1:AE1"/>
  </mergeCells>
  <phoneticPr fontId="5" type="noConversion"/>
  <dataValidations count="5">
    <dataValidation type="list" allowBlank="1" showInputMessage="1" showErrorMessage="1" sqref="AC298" xr:uid="{A285CEE1-0123-4802-9761-B5989F27D304}">
      <formula1>RockMatType</formula1>
    </dataValidation>
    <dataValidation type="list" allowBlank="1" showInputMessage="1" showErrorMessage="1" sqref="AD297" xr:uid="{F995A1EB-6DDE-4775-B4A0-C6CF3CFAFF60}">
      <formula1>SandRockGroup</formula1>
    </dataValidation>
    <dataValidation type="list" allowBlank="1" showInputMessage="1" showErrorMessage="1" sqref="F87" xr:uid="{1564C8A6-B784-4670-8A1B-2A43CEE9018D}">
      <formula1>Who</formula1>
    </dataValidation>
    <dataValidation type="list" allowBlank="1" showInputMessage="1" showErrorMessage="1" sqref="F299 E287:E299 F297 F233 E171:E194 E50:E117 E14:E24 E154:E169 E198:E208 E278:E285 E26:E31 E33:E48 E119:E120 E122:E136 E227:E234 E210:E217 E219:E224 E237:E250 E252:E276 E196 E138:E140 E142:E152 E4:E12" xr:uid="{45A275A6-95B0-4F80-8143-BDBBC6ADA9B4}">
      <formula1>CertStatus</formula1>
    </dataValidation>
    <dataValidation type="list" allowBlank="1" showInputMessage="1" showErrorMessage="1" sqref="H263 F162 F294 F63:F64 F157 AD66 AD124 AD137:AD140 F48 F54 F59 F220 AC38 F88:F89 AD88 F182:F185 AD42 AD86 F109:F110 F138:F140 AC94 AD25 F225 AC24:AD24 AD52:AD55 AD60:AD61 AC75 AC294:AD294 F223 AD118:AD119 F26 AC65:AD65 F52 F147 F298 AC82 F28:F29 F67 AC148:AD148 AD36 F117:F119 F23:F24 AD72 F218 F227 AC117 AC134:AC135 AC106 AD150 AC160:AD160 AC57 AD21 AD90:AD91 AD122 F6 AC46:AD46 F286:F287 AC40:AD40 F121:F122 F178:F180 F45:F46 AD6:AD8 AC6 AD28:AD29 AD57:AD58 F229 AD110 F249 F72 F129:F135 F33 F114:F115 AD154:AD156 F127 AD127 F231 AD133:AD135 F175 F79 F75 F86 AC89:AD89 AD102 AC163:AD164 F284 H282:H283 F273:F279 H269:H279 F268:F270 H267 F266 F264 F254:F262 F244:F246 F241:F242 F216 F211:F214 F208 F193:F205 F169:F170 F167 AD159 F154:F155 F149 AC145:AD145 AD130:AD131 F124:F125 F99:F104 AC97:AD97 F97 AD93:AD95 F81:F83 F69 F61 F42:F43 F38:F39 F35:F36 F31 AC17:AD17 AD14:AD15 F9:F11 AD11 F4 F281 F187:F189 F173 F159:F160 AC104:AD104 F56:F57 F17:F19 F14:F15 AD113:AD114 F142 F144:F145 F236:F239 F92:F95" xr:uid="{42C7B87C-084C-460C-88FE-7390F68409BA}">
      <formula1>#REF!</formula1>
    </dataValidation>
  </dataValidations>
  <hyperlinks>
    <hyperlink ref="J146" r:id="rId1" display="mailto:amurray@rsa.contractors" xr:uid="{DD5E0CFD-C3D7-4272-9F59-BFC787A16002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Word.Document.12" shapeId="13323" r:id="rId5">
          <objectPr defaultSize="0" autoPict="0" r:id="rId6">
            <anchor moveWithCells="1">
              <from>
                <xdr:col>0</xdr:col>
                <xdr:colOff>971550</xdr:colOff>
                <xdr:row>299</xdr:row>
                <xdr:rowOff>438150</xdr:rowOff>
              </from>
              <to>
                <xdr:col>5</xdr:col>
                <xdr:colOff>1371600</xdr:colOff>
                <xdr:row>339</xdr:row>
                <xdr:rowOff>104775</xdr:rowOff>
              </to>
            </anchor>
          </objectPr>
        </oleObject>
      </mc:Choice>
      <mc:Fallback>
        <oleObject progId="Word.Document.12" shapeId="13323" r:id="rId5"/>
      </mc:Fallback>
    </mc:AlternateContent>
    <mc:AlternateContent xmlns:mc="http://schemas.openxmlformats.org/markup-compatibility/2006">
      <mc:Choice Requires="x14">
        <oleObject progId="Word.Document.12" shapeId="13334" r:id="rId7">
          <objectPr defaultSize="0" autoPict="0" r:id="rId8">
            <anchor moveWithCells="1">
              <from>
                <xdr:col>32</xdr:col>
                <xdr:colOff>19050</xdr:colOff>
                <xdr:row>3</xdr:row>
                <xdr:rowOff>38100</xdr:rowOff>
              </from>
              <to>
                <xdr:col>43</xdr:col>
                <xdr:colOff>257175</xdr:colOff>
                <xdr:row>17</xdr:row>
                <xdr:rowOff>152400</xdr:rowOff>
              </to>
            </anchor>
          </objectPr>
        </oleObject>
      </mc:Choice>
      <mc:Fallback>
        <oleObject progId="Word.Document.12" shapeId="13334" r:id="rId7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C794F3B6B844B9DED8D5331747076" ma:contentTypeVersion="4" ma:contentTypeDescription="Create a new document." ma:contentTypeScope="" ma:versionID="4cf29730b35e484db5e8cde782f0d1c4">
  <xsd:schema xmlns:xsd="http://www.w3.org/2001/XMLSchema" xmlns:xs="http://www.w3.org/2001/XMLSchema" xmlns:p="http://schemas.microsoft.com/office/2006/metadata/properties" xmlns:ns2="132d1bfc-ecc7-4840-a5f9-4d6e6046ff13" targetNamespace="http://schemas.microsoft.com/office/2006/metadata/properties" ma:root="true" ma:fieldsID="c52f829607ffecca942f13dee9e852f9" ns2:_="">
    <xsd:import namespace="132d1bfc-ecc7-4840-a5f9-4d6e6046f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d1bfc-ecc7-4840-a5f9-4d6e6046f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7501AC-8388-42F1-825B-C5D58B3EF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d1bfc-ecc7-4840-a5f9-4d6e6046f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4D5A2B-FCB5-414C-84D1-B9ADD722568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132d1bfc-ecc7-4840-a5f9-4d6e6046ff1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F7C28BB-7A33-4617-85A6-44C58C6347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Spreadsheet</vt:lpstr>
    </vt:vector>
  </TitlesOfParts>
  <Manager/>
  <Company>Department of Transport and Main Roads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Approved Products and Suppliers</dc:title>
  <dc:subject>Registered Quarry Suppliers</dc:subject>
  <dc:creator>Department of Transport and Main Roads</dc:creator>
  <cp:keywords>Registered; Suppliers; Quarries; APS; Approved Products and Suppliers</cp:keywords>
  <dc:description/>
  <cp:lastModifiedBy>Lucas F Tong</cp:lastModifiedBy>
  <cp:revision/>
  <cp:lastPrinted>2025-12-18T23:17:00Z</cp:lastPrinted>
  <dcterms:created xsi:type="dcterms:W3CDTF">2013-09-11T06:09:43Z</dcterms:created>
  <dcterms:modified xsi:type="dcterms:W3CDTF">2026-02-25T22:50:48Z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0x010100F57C794F3B6B844B9DED8D5331747076</vt:lpwstr>
  </property>
  <property fmtid="{D5CDD505-2E9C-101B-9397-08002B2CF9AE}" pid="3" name="Order">
    <vt:r8>118400</vt:r8>
  </property>
  <property fmtid="{D5CDD505-2E9C-101B-9397-08002B2CF9AE}" pid="4" name="ComplianceAssetId">
    <vt:lpwstr/>
  </property>
  <property fmtid="{D5CDD505-2E9C-101B-9397-08002B2CF9AE}" pid="5" name="_ExtendedDescription">
    <vt:lpwstr/>
  </property>
</Properties>
</file>